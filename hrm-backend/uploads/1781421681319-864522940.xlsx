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p\Downloads\"/>
    </mc:Choice>
  </mc:AlternateContent>
  <xr:revisionPtr revIDLastSave="0" documentId="8_{12D6E610-F6A8-4CC4-82A1-E24F33854C1D}" xr6:coauthVersionLast="47" xr6:coauthVersionMax="47" xr10:uidLastSave="{00000000-0000-0000-0000-000000000000}"/>
  <bookViews>
    <workbookView xWindow="-108" yWindow="-108" windowWidth="23256" windowHeight="12456" xr2:uid="{11C2C613-1BF3-483F-94DC-B97590B294C0}"/>
  </bookViews>
  <sheets>
    <sheet name="CHẤM CÔ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9" i="1" l="1"/>
  <c r="AN66" i="1"/>
  <c r="AO66" i="1" s="1"/>
  <c r="AM66" i="1"/>
  <c r="AL66" i="1"/>
  <c r="AK66" i="1"/>
  <c r="AJ66" i="1"/>
  <c r="AN64" i="1"/>
  <c r="AM64" i="1"/>
  <c r="AL64" i="1"/>
  <c r="AK64" i="1"/>
  <c r="AJ64" i="1"/>
  <c r="AO64" i="1" s="1"/>
  <c r="AN62" i="1"/>
  <c r="AM62" i="1"/>
  <c r="AL62" i="1"/>
  <c r="AK62" i="1"/>
  <c r="AJ62" i="1"/>
  <c r="AO62" i="1" s="1"/>
  <c r="AN60" i="1"/>
  <c r="AM60" i="1"/>
  <c r="AL60" i="1"/>
  <c r="AK60" i="1"/>
  <c r="AJ60" i="1"/>
  <c r="AO60" i="1" s="1"/>
  <c r="AN58" i="1"/>
  <c r="AM58" i="1"/>
  <c r="AL58" i="1"/>
  <c r="AK58" i="1"/>
  <c r="AJ58" i="1"/>
  <c r="AO58" i="1" s="1"/>
  <c r="AO56" i="1"/>
  <c r="AN56" i="1"/>
  <c r="AM56" i="1"/>
  <c r="AL56" i="1"/>
  <c r="AK56" i="1"/>
  <c r="AJ56" i="1"/>
  <c r="AN54" i="1"/>
  <c r="AM54" i="1"/>
  <c r="AL54" i="1"/>
  <c r="AK54" i="1"/>
  <c r="AJ54" i="1"/>
  <c r="AO54" i="1" s="1"/>
  <c r="AN52" i="1"/>
  <c r="AO52" i="1" s="1"/>
  <c r="AM52" i="1"/>
  <c r="AL52" i="1"/>
  <c r="AK52" i="1"/>
  <c r="AJ52" i="1"/>
  <c r="AN50" i="1"/>
  <c r="AO50" i="1" s="1"/>
  <c r="AM50" i="1"/>
  <c r="AL50" i="1"/>
  <c r="AK50" i="1"/>
  <c r="AJ50" i="1"/>
  <c r="AN48" i="1"/>
  <c r="AM48" i="1"/>
  <c r="AL48" i="1"/>
  <c r="AK48" i="1"/>
  <c r="AJ48" i="1"/>
  <c r="AO48" i="1" s="1"/>
  <c r="AN46" i="1"/>
  <c r="AM46" i="1"/>
  <c r="AL46" i="1"/>
  <c r="AK46" i="1"/>
  <c r="AJ46" i="1"/>
  <c r="AO46" i="1" s="1"/>
  <c r="AN44" i="1"/>
  <c r="AM44" i="1"/>
  <c r="AL44" i="1"/>
  <c r="AK44" i="1"/>
  <c r="AJ44" i="1"/>
  <c r="AO44" i="1" s="1"/>
  <c r="AN42" i="1"/>
  <c r="AM42" i="1"/>
  <c r="AL42" i="1"/>
  <c r="AK42" i="1"/>
  <c r="AJ42" i="1"/>
  <c r="AO42" i="1" s="1"/>
  <c r="AO40" i="1"/>
  <c r="AN40" i="1"/>
  <c r="AM40" i="1"/>
  <c r="AL40" i="1"/>
  <c r="AK40" i="1"/>
  <c r="AJ40" i="1"/>
  <c r="AN38" i="1"/>
  <c r="AM38" i="1"/>
  <c r="AL38" i="1"/>
  <c r="AK38" i="1"/>
  <c r="AJ38" i="1"/>
  <c r="AO38" i="1" s="1"/>
  <c r="AN36" i="1"/>
  <c r="AM36" i="1"/>
  <c r="AL36" i="1"/>
  <c r="AK36" i="1"/>
  <c r="AJ36" i="1"/>
  <c r="AO36" i="1" s="1"/>
  <c r="AN34" i="1"/>
  <c r="AO34" i="1" s="1"/>
  <c r="AM34" i="1"/>
  <c r="AL34" i="1"/>
  <c r="AK34" i="1"/>
  <c r="AJ34" i="1"/>
  <c r="AN32" i="1"/>
  <c r="AM32" i="1"/>
  <c r="AL32" i="1"/>
  <c r="AK32" i="1"/>
  <c r="AJ32" i="1"/>
  <c r="AO32" i="1" s="1"/>
  <c r="AN30" i="1"/>
  <c r="AM30" i="1"/>
  <c r="AL30" i="1"/>
  <c r="AK30" i="1"/>
  <c r="AJ30" i="1"/>
  <c r="AO30" i="1" s="1"/>
  <c r="AN28" i="1"/>
  <c r="AM28" i="1"/>
  <c r="AL28" i="1"/>
  <c r="AK28" i="1"/>
  <c r="AJ28" i="1"/>
  <c r="AO28" i="1" s="1"/>
  <c r="AN26" i="1"/>
  <c r="AM26" i="1"/>
  <c r="AL26" i="1"/>
  <c r="AK26" i="1"/>
  <c r="AJ26" i="1"/>
  <c r="AO26" i="1" s="1"/>
  <c r="AO24" i="1"/>
  <c r="AN24" i="1"/>
  <c r="AM24" i="1"/>
  <c r="AL24" i="1"/>
  <c r="AK24" i="1"/>
  <c r="AJ24" i="1"/>
  <c r="AN22" i="1"/>
  <c r="AM22" i="1"/>
  <c r="AL22" i="1"/>
  <c r="AK22" i="1"/>
  <c r="AJ22" i="1"/>
  <c r="AO22" i="1" s="1"/>
  <c r="AN20" i="1"/>
  <c r="AM20" i="1"/>
  <c r="AL20" i="1"/>
  <c r="AK20" i="1"/>
  <c r="AJ20" i="1"/>
  <c r="AO20" i="1" s="1"/>
  <c r="AN18" i="1"/>
  <c r="AO18" i="1" s="1"/>
  <c r="AM18" i="1"/>
  <c r="AL18" i="1"/>
  <c r="AK18" i="1"/>
  <c r="AJ18" i="1"/>
  <c r="AN16" i="1"/>
  <c r="AM16" i="1"/>
  <c r="AL16" i="1"/>
  <c r="AK16" i="1"/>
  <c r="AJ16" i="1"/>
  <c r="AO16" i="1" s="1"/>
  <c r="AN14" i="1"/>
  <c r="AM14" i="1"/>
  <c r="AL14" i="1"/>
  <c r="AK14" i="1"/>
  <c r="AJ14" i="1"/>
  <c r="AO14" i="1" s="1"/>
  <c r="AN12" i="1"/>
  <c r="AM12" i="1"/>
  <c r="AL12" i="1"/>
  <c r="AK12" i="1"/>
  <c r="AJ12" i="1"/>
  <c r="AO12" i="1" s="1"/>
  <c r="AN10" i="1"/>
  <c r="AM10" i="1"/>
  <c r="AL10" i="1"/>
  <c r="AK10" i="1"/>
  <c r="AJ10" i="1"/>
  <c r="AO10" i="1" s="1"/>
  <c r="AN8" i="1"/>
  <c r="AM8" i="1"/>
  <c r="AO8" i="1" s="1"/>
  <c r="AL8" i="1"/>
  <c r="AK8" i="1"/>
  <c r="AJ8" i="1"/>
</calcChain>
</file>

<file path=xl/sharedStrings.xml><?xml version="1.0" encoding="utf-8"?>
<sst xmlns="http://schemas.openxmlformats.org/spreadsheetml/2006/main" count="263" uniqueCount="116">
  <si>
    <t xml:space="preserve">CÔNG TY TNHH </t>
  </si>
  <si>
    <t>BỆNH VIỆN ĐA KHOA SỐ 10</t>
  </si>
  <si>
    <t>KHOA NGOẠI</t>
  </si>
  <si>
    <t>TT</t>
  </si>
  <si>
    <t>Họ Tên</t>
  </si>
  <si>
    <t>THÁNG 11</t>
  </si>
  <si>
    <t>Ngày Làm
(A)</t>
  </si>
  <si>
    <t>Nghỉ Phép
(B)</t>
  </si>
  <si>
    <t>Trực
( C )</t>
  </si>
  <si>
    <t>Nghỉ Bù Trực (D)</t>
  </si>
  <si>
    <t>Nghỉ Lễ Nghỉ Khác (E)</t>
  </si>
  <si>
    <r>
      <rPr>
        <b/>
        <sz val="11"/>
        <color theme="1"/>
        <rFont val="Times New Roman"/>
        <family val="1"/>
        <charset val="163"/>
      </rPr>
      <t>Tổng Công</t>
    </r>
    <r>
      <rPr>
        <b/>
        <sz val="10"/>
        <color theme="1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  <charset val="163"/>
      </rPr>
      <t>F=A+B+D+E</t>
    </r>
  </si>
  <si>
    <t/>
  </si>
  <si>
    <t>Cộng</t>
  </si>
  <si>
    <t>T7</t>
  </si>
  <si>
    <t>CN</t>
  </si>
  <si>
    <t>T2</t>
  </si>
  <si>
    <t>T3</t>
  </si>
  <si>
    <t>T4</t>
  </si>
  <si>
    <t>T5</t>
  </si>
  <si>
    <t>T6</t>
  </si>
  <si>
    <t>B.Quân</t>
  </si>
  <si>
    <t>+</t>
  </si>
  <si>
    <t>N</t>
  </si>
  <si>
    <t>-/K</t>
  </si>
  <si>
    <t>-</t>
  </si>
  <si>
    <t>K</t>
  </si>
  <si>
    <t>-/P</t>
  </si>
  <si>
    <t>Chấm Trực</t>
  </si>
  <si>
    <t>T</t>
  </si>
  <si>
    <t>-/B</t>
  </si>
  <si>
    <t>-/N</t>
  </si>
  <si>
    <t>P</t>
  </si>
  <si>
    <t>B</t>
  </si>
  <si>
    <t>0/0</t>
  </si>
  <si>
    <t>H</t>
  </si>
  <si>
    <t>TS</t>
  </si>
  <si>
    <t>chấm trực</t>
  </si>
  <si>
    <t>Note: Người chấm công thực hiện theo đúng ký hiệu được quy ước ở mặt sau.</t>
  </si>
  <si>
    <t>Trưởng Đơn Vị</t>
  </si>
  <si>
    <t>Lập Bảng</t>
  </si>
  <si>
    <t>BẢNG CHẤM CÔNG THÁNG 11 NĂM 2023</t>
  </si>
  <si>
    <t>Ngày Làm</t>
  </si>
  <si>
    <t>Nghỉ Phép</t>
  </si>
  <si>
    <t>Trực</t>
  </si>
  <si>
    <t>Nghỉ Bù Trực</t>
  </si>
  <si>
    <t>Nghỉ Lễ Nghỉ Khác</t>
  </si>
  <si>
    <t>Tổng Công</t>
  </si>
  <si>
    <t>A</t>
  </si>
  <si>
    <t>C</t>
  </si>
  <si>
    <t>D</t>
  </si>
  <si>
    <t>E</t>
  </si>
  <si>
    <t>F=A+B+D+E</t>
  </si>
  <si>
    <t>Châu Thành A, ngày __ tháng__ năm 2023</t>
  </si>
  <si>
    <t>TL.Hành chánh - Nhân sự</t>
  </si>
  <si>
    <t>Quy ước ký hiệu:</t>
  </si>
  <si>
    <t>Ký Hiệu</t>
  </si>
  <si>
    <t>Nội Dung Chấm Công</t>
  </si>
  <si>
    <t>Có Hưởng Lương</t>
  </si>
  <si>
    <t>Không Hưởng Lương</t>
  </si>
  <si>
    <t>1-PHẦN CHẤM TRỰC + RA BÙ</t>
  </si>
  <si>
    <t>Trực 12h</t>
  </si>
  <si>
    <t>Theo ca trực</t>
  </si>
  <si>
    <t>Trực 24h ( Chi áp dụng cho Bác sĩ hợp tác) - Thường Trực</t>
  </si>
  <si>
    <t>Theo ca trực 24h</t>
  </si>
  <si>
    <t>Nghỉ bù trực</t>
  </si>
  <si>
    <t>Theo ngày công</t>
  </si>
  <si>
    <t>Nghỉ bù trực nữa ngày</t>
  </si>
  <si>
    <t>Nữa Ngày</t>
  </si>
  <si>
    <t>B4</t>
  </si>
  <si>
    <t>Nghỉ bù giờ ban ngày ( Bù 4 tiếng)</t>
  </si>
  <si>
    <t>BG</t>
  </si>
  <si>
    <t>Nghỉ bù giờ cả ngày ( Bù giờ 8 tiếng)</t>
  </si>
  <si>
    <t>Ngày</t>
  </si>
  <si>
    <t>2-PHẦN CHẤM NGÀY CÔNG - GIỜ HÀNH CHÁNH</t>
  </si>
  <si>
    <t>Làm</t>
  </si>
  <si>
    <t>Làm nữa ngày</t>
  </si>
  <si>
    <t>Nghỉ phép</t>
  </si>
  <si>
    <t xml:space="preserve"> -/P</t>
  </si>
  <si>
    <t>Làm nữa ngày , nghỉ phép nữa ngày buổi chiều</t>
  </si>
  <si>
    <t>P/-</t>
  </si>
  <si>
    <t>Làm nữa ngày, nghỉ phép nữa ngày buổi sáng</t>
  </si>
  <si>
    <t>P/N</t>
  </si>
  <si>
    <t>Nghỉ phép nữa ngày, nghỉ tuần nữa ngày</t>
  </si>
  <si>
    <t>P/K</t>
  </si>
  <si>
    <t>Nghỉ phép nữa ngày, nghỉ không lương nữa ngày</t>
  </si>
  <si>
    <t xml:space="preserve"> K</t>
  </si>
  <si>
    <t>Nghỉ không lương, Đi học không hưởng lương cả ngày</t>
  </si>
  <si>
    <t>Làm nữa ngày,nghỉ không lương nữa ngày ( đi học nữa ngày ko hưởng lương)</t>
  </si>
  <si>
    <t>BL</t>
  </si>
  <si>
    <t>Nghỉ bù Lễ</t>
  </si>
  <si>
    <t>-/BL</t>
  </si>
  <si>
    <t xml:space="preserve"> -/BL</t>
  </si>
  <si>
    <t>Nghỉ bù Lễ nữa ngày, làm nữa ngày</t>
  </si>
  <si>
    <t>L</t>
  </si>
  <si>
    <t>Nghỉ Lễ</t>
  </si>
  <si>
    <t>-/L</t>
  </si>
  <si>
    <t>Làm nữa ngày, Nghỉ Lễ nữa ngày</t>
  </si>
  <si>
    <t>Nghỉ tuần</t>
  </si>
  <si>
    <t>Làm nữa ngày, nghỉ tuần nữa ngày</t>
  </si>
  <si>
    <t>Nữa ngày</t>
  </si>
  <si>
    <t>Nghỉ thai sản</t>
  </si>
  <si>
    <t>O</t>
  </si>
  <si>
    <t>Nghỉ ốm</t>
  </si>
  <si>
    <t>PC</t>
  </si>
  <si>
    <t>Nghỉ phép cưới</t>
  </si>
  <si>
    <t>PT</t>
  </si>
  <si>
    <t>Nghỉ phép tang</t>
  </si>
  <si>
    <t>Nghỉ đi học hưởng lương</t>
  </si>
  <si>
    <t>-/H</t>
  </si>
  <si>
    <t>Đi làm nữa ngày, Nghỉ đi học hưởng lương nữa ngày</t>
  </si>
  <si>
    <t>K/H</t>
  </si>
  <si>
    <t>Học nữa ngày, nghỉ nữa ngày</t>
  </si>
  <si>
    <t>VS</t>
  </si>
  <si>
    <t>Vợ Sanh ( sanh thường nghỉ 5 ngày, Sanh mổ nghỉ 7 ngày)</t>
  </si>
  <si>
    <t>7/6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</si>
</sst>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"/>
    <numFmt numFmtId="165" formatCode="_-* #,##0.0\ _₫_-;\-* #,##0.0\ _₫_-;_-* &quot;-&quot;??\ _₫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  <charset val="163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  <charset val="163"/>
    </font>
    <font>
      <sz val="11"/>
      <name val="Times New Roman"/>
      <family val="1"/>
    </font>
    <font>
      <sz val="12"/>
      <color theme="1"/>
      <name val="Times New Roman"/>
      <family val="1"/>
    </font>
    <font>
      <i/>
      <sz val="1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1"/>
      <name val="Times New Roman"/>
      <family val="1"/>
      <charset val="163"/>
    </font>
    <font>
      <i/>
      <sz val="14"/>
      <color theme="1"/>
      <name val="Times New Roman"/>
      <family val="1"/>
      <charset val="163"/>
    </font>
    <font>
      <i/>
      <sz val="12"/>
      <color theme="1"/>
      <name val="Times New Roman"/>
      <family val="1"/>
      <charset val="163"/>
    </font>
    <font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theme="1"/>
      <name val="Times New Roman"/>
      <family val="1"/>
      <charset val="163"/>
    </font>
    <font>
      <sz val="12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64" fontId="11" fillId="0" borderId="6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165" fontId="6" fillId="2" borderId="6" xfId="1" applyNumberFormat="1" applyFont="1" applyFill="1" applyBorder="1" applyAlignment="1" applyProtection="1">
      <alignment horizontal="center" vertical="center"/>
      <protection hidden="1"/>
    </xf>
    <xf numFmtId="165" fontId="13" fillId="2" borderId="6" xfId="1" applyNumberFormat="1" applyFont="1" applyFill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4" fillId="2" borderId="0" xfId="0" applyFont="1" applyFill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2" fillId="0" borderId="0" xfId="0" applyFont="1" applyAlignment="1" applyProtection="1">
      <alignment horizontal="center" vertical="center"/>
      <protection locked="0"/>
    </xf>
    <xf numFmtId="0" fontId="6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4" fillId="0" borderId="13" xfId="0" applyFont="1" applyBorder="1" applyAlignment="1" applyProtection="1">
      <alignment horizontal="justify" wrapText="1"/>
      <protection locked="0"/>
    </xf>
    <xf numFmtId="1" fontId="2" fillId="0" borderId="12" xfId="0" applyNumberFormat="1" applyFont="1" applyBorder="1" applyAlignment="1" applyProtection="1">
      <alignment horizontal="center" vertical="center"/>
      <protection hidden="1"/>
    </xf>
    <xf numFmtId="0" fontId="14" fillId="0" borderId="0" xfId="0" applyFont="1" applyAlignment="1">
      <alignment vertical="center"/>
    </xf>
    <xf numFmtId="0" fontId="14" fillId="0" borderId="0" xfId="0" applyFont="1" applyAlignment="1" applyProtection="1">
      <alignment vertical="center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49" fontId="18" fillId="0" borderId="8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justify" wrapText="1"/>
      <protection locked="0"/>
    </xf>
    <xf numFmtId="49" fontId="18" fillId="0" borderId="12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>
      <alignment vertical="center"/>
    </xf>
    <xf numFmtId="0" fontId="20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15" fillId="0" borderId="14" xfId="0" applyFont="1" applyBorder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3" fillId="0" borderId="0" xfId="1" applyNumberFormat="1" applyFont="1" applyFill="1" applyAlignment="1" applyProtection="1">
      <alignment vertical="center"/>
    </xf>
    <xf numFmtId="0" fontId="4" fillId="0" borderId="0" xfId="0" applyFont="1" applyAlignment="1" applyProtection="1">
      <alignment horizontal="center" vertical="center"/>
      <protection locked="0"/>
    </xf>
    <xf numFmtId="49" fontId="26" fillId="5" borderId="12" xfId="0" applyNumberFormat="1" applyFont="1" applyFill="1" applyBorder="1" applyAlignment="1" applyProtection="1">
      <alignment horizontal="center" vertical="center"/>
      <protection hidden="1"/>
    </xf>
    <xf numFmtId="0" fontId="27" fillId="0" borderId="12" xfId="0" applyFont="1" applyBorder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49" fontId="26" fillId="5" borderId="8" xfId="0" applyNumberFormat="1" applyFont="1" applyFill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7" fontId="4" fillId="0" borderId="0" xfId="0" applyNumberFormat="1" applyFont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2" borderId="6" xfId="0" applyFont="1" applyFill="1" applyBorder="1" applyAlignment="1">
      <alignment horizontal="center" vertical="center" wrapText="1"/>
    </xf>
    <xf numFmtId="0" fontId="12" fillId="0" borderId="2" xfId="0" applyFont="1" applyBorder="1" applyAlignment="1" applyProtection="1">
      <alignment horizontal="center" vertical="center" textRotation="180" wrapText="1"/>
      <protection hidden="1"/>
    </xf>
    <xf numFmtId="0" fontId="12" fillId="0" borderId="9" xfId="0" applyFont="1" applyBorder="1" applyAlignment="1" applyProtection="1">
      <alignment horizontal="center" vertical="center" textRotation="180" wrapText="1"/>
      <protection hidden="1"/>
    </xf>
    <xf numFmtId="0" fontId="14" fillId="0" borderId="11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horizontal="center" vertical="center"/>
      <protection hidden="1"/>
    </xf>
    <xf numFmtId="165" fontId="14" fillId="0" borderId="6" xfId="1" applyNumberFormat="1" applyFont="1" applyFill="1" applyBorder="1" applyAlignment="1" applyProtection="1">
      <alignment horizontal="center" vertical="center"/>
      <protection hidden="1"/>
    </xf>
    <xf numFmtId="165" fontId="16" fillId="3" borderId="6" xfId="1" applyNumberFormat="1" applyFont="1" applyFill="1" applyBorder="1" applyAlignment="1" applyProtection="1">
      <alignment horizontal="center" vertical="center"/>
      <protection hidden="1"/>
    </xf>
    <xf numFmtId="165" fontId="5" fillId="4" borderId="6" xfId="1" applyNumberFormat="1" applyFont="1" applyFill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165" fontId="14" fillId="0" borderId="6" xfId="1" applyNumberFormat="1" applyFont="1" applyFill="1" applyBorder="1" applyAlignment="1" applyProtection="1">
      <alignment horizontal="center" vertical="center"/>
    </xf>
    <xf numFmtId="165" fontId="16" fillId="3" borderId="6" xfId="1" applyNumberFormat="1" applyFont="1" applyFill="1" applyBorder="1" applyAlignment="1" applyProtection="1">
      <alignment horizontal="center" vertical="center"/>
    </xf>
    <xf numFmtId="165" fontId="5" fillId="4" borderId="6" xfId="1" applyNumberFormat="1" applyFont="1" applyFill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21" fillId="0" borderId="1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25" fillId="0" borderId="15" xfId="0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7" fillId="2" borderId="2" xfId="0" applyFont="1" applyFill="1" applyBorder="1" applyAlignment="1" applyProtection="1">
      <alignment horizontal="center" vertical="center" wrapText="1"/>
      <protection hidden="1"/>
    </xf>
    <xf numFmtId="0" fontId="7" fillId="2" borderId="8" xfId="0" applyFont="1" applyFill="1" applyBorder="1" applyAlignment="1" applyProtection="1">
      <alignment horizontal="center" vertical="center" wrapText="1"/>
      <protection hidden="1"/>
    </xf>
    <xf numFmtId="0" fontId="8" fillId="2" borderId="6" xfId="0" applyFont="1" applyFill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</cellXfs>
  <cellStyles count="2">
    <cellStyle name="Comma" xfId="1" builtinId="3"/>
    <cellStyle name="Normal" xfId="0" builtinId="0"/>
  </cellStyles>
  <dxfs count="10">
    <dxf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 patternType="lightUp"/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\Documents\Deepcare\HRM\8.KHOA%20NGOAI%20T11.xlsx" TargetMode="External"/><Relationship Id="rId1" Type="http://schemas.openxmlformats.org/officeDocument/2006/relationships/externalLinkPath" Target="/Hp/Documents/Deepcare/HRM/8.KHOA%20NGOAI%20T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ẤM CÔNG"/>
      <sheetName val="BS HỢP TÁC + THƯỜNG TRỰC"/>
      <sheetName val="KÝ HIỆU"/>
      <sheetName val="CÔNG THỨC"/>
      <sheetName val="ĐI HỌC"/>
    </sheetNames>
    <sheetDataSet>
      <sheetData sheetId="0">
        <row r="2">
          <cell r="I2" t="str">
            <v>KHOA NGOẠI</v>
          </cell>
        </row>
      </sheetData>
      <sheetData sheetId="1"/>
      <sheetData sheetId="2"/>
      <sheetData sheetId="3">
        <row r="6">
          <cell r="AO6">
            <v>0</v>
          </cell>
        </row>
        <row r="8"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</row>
        <row r="10"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</row>
        <row r="12"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</row>
        <row r="14"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</row>
        <row r="16"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</row>
        <row r="18"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</row>
        <row r="20"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</row>
        <row r="22"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</row>
        <row r="24"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</row>
        <row r="26"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</row>
        <row r="28"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</row>
        <row r="30"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</row>
        <row r="32"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</row>
        <row r="34"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</row>
        <row r="36"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</row>
        <row r="38"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</row>
        <row r="40"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</row>
        <row r="42"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</row>
        <row r="44"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</row>
        <row r="46"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</row>
        <row r="48"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</row>
        <row r="50"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</row>
        <row r="52"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</row>
        <row r="54"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</row>
        <row r="56"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</row>
        <row r="58"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</row>
        <row r="60"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</row>
        <row r="62"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</row>
        <row r="64"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</row>
        <row r="66"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B796-AD76-4E43-ABBB-C394885F65D0}">
  <dimension ref="A1:AU115"/>
  <sheetViews>
    <sheetView tabSelected="1" zoomScaleNormal="100" workbookViewId="0">
      <selection activeCell="B6" sqref="B6"/>
    </sheetView>
  </sheetViews>
  <sheetFormatPr defaultColWidth="9.109375" defaultRowHeight="16.5" customHeight="1" x14ac:dyDescent="0.3"/>
  <cols>
    <col min="1" max="1" width="3.44140625" style="10" customWidth="1"/>
    <col min="2" max="2" width="22.44140625" style="10" customWidth="1"/>
    <col min="3" max="33" width="3.44140625" style="46" customWidth="1"/>
    <col min="34" max="34" width="7.109375" style="46" customWidth="1"/>
    <col min="35" max="35" width="9.109375" style="46"/>
    <col min="36" max="40" width="9.44140625" style="11" hidden="1" customWidth="1"/>
    <col min="41" max="41" width="11.44140625" style="11" hidden="1" customWidth="1"/>
    <col min="42" max="42" width="11.5546875" style="11" customWidth="1"/>
    <col min="43" max="43" width="12.21875" style="10" customWidth="1"/>
    <col min="44" max="44" width="10.77734375" style="10" customWidth="1"/>
    <col min="45" max="45" width="11.44140625" style="10" customWidth="1"/>
    <col min="46" max="46" width="9.5546875" style="10" customWidth="1"/>
    <col min="47" max="47" width="13.6640625" style="10" customWidth="1"/>
    <col min="48" max="16384" width="9.109375" style="10"/>
  </cols>
  <sheetData>
    <row r="1" spans="1:47" ht="16.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 t="s">
        <v>41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1"/>
      <c r="AJ1" s="54"/>
      <c r="AK1" s="54"/>
      <c r="AL1" s="54"/>
      <c r="AM1" s="54"/>
      <c r="AN1" s="54"/>
      <c r="AO1" s="54"/>
      <c r="AP1" s="9"/>
    </row>
    <row r="2" spans="1:47" ht="16.5" customHeight="1" x14ac:dyDescent="0.3">
      <c r="A2" s="53" t="s">
        <v>1</v>
      </c>
      <c r="B2" s="53"/>
      <c r="C2" s="53"/>
      <c r="D2" s="53"/>
      <c r="E2" s="53"/>
      <c r="F2" s="53"/>
      <c r="G2" s="53"/>
      <c r="H2" s="53"/>
      <c r="I2" s="56" t="s">
        <v>2</v>
      </c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2"/>
      <c r="AJ2" s="55"/>
      <c r="AK2" s="55"/>
      <c r="AL2" s="55"/>
      <c r="AM2" s="55"/>
      <c r="AN2" s="55"/>
      <c r="AO2" s="55"/>
    </row>
    <row r="3" spans="1:47" ht="20.25" customHeight="1" x14ac:dyDescent="0.3">
      <c r="A3" s="57" t="s">
        <v>3</v>
      </c>
      <c r="B3" s="57" t="s">
        <v>4</v>
      </c>
      <c r="C3" s="60" t="s">
        <v>5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2"/>
      <c r="AI3" s="2"/>
      <c r="AJ3" s="63" t="s">
        <v>42</v>
      </c>
      <c r="AK3" s="63" t="s">
        <v>43</v>
      </c>
      <c r="AL3" s="63" t="s">
        <v>44</v>
      </c>
      <c r="AM3" s="63" t="s">
        <v>45</v>
      </c>
      <c r="AN3" s="63" t="s">
        <v>46</v>
      </c>
      <c r="AO3" s="63" t="s">
        <v>47</v>
      </c>
      <c r="AP3" s="89" t="s">
        <v>6</v>
      </c>
      <c r="AQ3" s="89" t="s">
        <v>7</v>
      </c>
      <c r="AR3" s="89" t="s">
        <v>8</v>
      </c>
      <c r="AS3" s="89" t="s">
        <v>9</v>
      </c>
      <c r="AT3" s="90" t="s">
        <v>10</v>
      </c>
      <c r="AU3" s="92" t="s">
        <v>11</v>
      </c>
    </row>
    <row r="4" spans="1:47" s="12" customFormat="1" ht="15.75" customHeight="1" x14ac:dyDescent="0.3">
      <c r="A4" s="58"/>
      <c r="B4" s="58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 t="s">
        <v>12</v>
      </c>
      <c r="AH4" s="64" t="s">
        <v>13</v>
      </c>
      <c r="AI4" s="2"/>
      <c r="AJ4" s="63"/>
      <c r="AK4" s="63"/>
      <c r="AL4" s="63"/>
      <c r="AM4" s="63"/>
      <c r="AN4" s="63"/>
      <c r="AO4" s="63"/>
      <c r="AP4" s="89"/>
      <c r="AQ4" s="89"/>
      <c r="AR4" s="89"/>
      <c r="AS4" s="89"/>
      <c r="AT4" s="91"/>
      <c r="AU4" s="93"/>
    </row>
    <row r="5" spans="1:47" ht="15.75" customHeight="1" thickBot="1" x14ac:dyDescent="0.35">
      <c r="A5" s="59"/>
      <c r="B5" s="59"/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14</v>
      </c>
      <c r="R5" s="4" t="s">
        <v>15</v>
      </c>
      <c r="S5" s="4" t="s">
        <v>16</v>
      </c>
      <c r="T5" s="4" t="s">
        <v>17</v>
      </c>
      <c r="U5" s="4" t="s">
        <v>18</v>
      </c>
      <c r="V5" s="4" t="s">
        <v>19</v>
      </c>
      <c r="W5" s="4" t="s">
        <v>20</v>
      </c>
      <c r="X5" s="4" t="s">
        <v>14</v>
      </c>
      <c r="Y5" s="4" t="s">
        <v>15</v>
      </c>
      <c r="Z5" s="4" t="s">
        <v>16</v>
      </c>
      <c r="AA5" s="4" t="s">
        <v>17</v>
      </c>
      <c r="AB5" s="4" t="s">
        <v>18</v>
      </c>
      <c r="AC5" s="4" t="s">
        <v>19</v>
      </c>
      <c r="AD5" s="4" t="s">
        <v>20</v>
      </c>
      <c r="AE5" s="4" t="s">
        <v>14</v>
      </c>
      <c r="AF5" s="4" t="s">
        <v>15</v>
      </c>
      <c r="AG5" s="4" t="s">
        <v>12</v>
      </c>
      <c r="AH5" s="65"/>
      <c r="AI5" s="2" t="s">
        <v>21</v>
      </c>
      <c r="AJ5" s="13" t="s">
        <v>48</v>
      </c>
      <c r="AK5" s="13" t="s">
        <v>33</v>
      </c>
      <c r="AL5" s="13" t="s">
        <v>49</v>
      </c>
      <c r="AM5" s="13" t="s">
        <v>50</v>
      </c>
      <c r="AN5" s="13" t="s">
        <v>51</v>
      </c>
      <c r="AO5" s="14" t="s">
        <v>52</v>
      </c>
      <c r="AP5" s="5"/>
      <c r="AQ5" s="5"/>
      <c r="AR5" s="5"/>
      <c r="AS5" s="5"/>
      <c r="AT5" s="5"/>
      <c r="AU5" s="6"/>
    </row>
    <row r="6" spans="1:47" s="18" customFormat="1" ht="17.25" customHeight="1" thickTop="1" x14ac:dyDescent="0.25">
      <c r="A6" s="66">
        <v>1</v>
      </c>
      <c r="B6" s="15"/>
      <c r="C6" s="47" t="s">
        <v>22</v>
      </c>
      <c r="D6" s="47" t="s">
        <v>23</v>
      </c>
      <c r="E6" s="47" t="s">
        <v>22</v>
      </c>
      <c r="F6" s="47"/>
      <c r="G6" s="47" t="s">
        <v>22</v>
      </c>
      <c r="H6" s="47" t="s">
        <v>22</v>
      </c>
      <c r="I6" s="47" t="s">
        <v>22</v>
      </c>
      <c r="J6" s="47" t="s">
        <v>23</v>
      </c>
      <c r="K6" s="47" t="s">
        <v>22</v>
      </c>
      <c r="L6" s="47"/>
      <c r="M6" s="47" t="s">
        <v>22</v>
      </c>
      <c r="N6" s="47" t="s">
        <v>22</v>
      </c>
      <c r="O6" s="47"/>
      <c r="P6" s="47" t="s">
        <v>22</v>
      </c>
      <c r="Q6" s="47" t="s">
        <v>22</v>
      </c>
      <c r="R6" s="47" t="s">
        <v>22</v>
      </c>
      <c r="S6" s="47" t="s">
        <v>22</v>
      </c>
      <c r="T6" s="47" t="s">
        <v>22</v>
      </c>
      <c r="U6" s="47"/>
      <c r="V6" s="47" t="s">
        <v>22</v>
      </c>
      <c r="W6" s="47" t="s">
        <v>22</v>
      </c>
      <c r="X6" s="47" t="s">
        <v>32</v>
      </c>
      <c r="Y6" s="47" t="s">
        <v>22</v>
      </c>
      <c r="Z6" s="47"/>
      <c r="AA6" s="47" t="s">
        <v>22</v>
      </c>
      <c r="AB6" s="47" t="s">
        <v>22</v>
      </c>
      <c r="AC6" s="47"/>
      <c r="AD6" s="47" t="s">
        <v>22</v>
      </c>
      <c r="AE6" s="47" t="s">
        <v>32</v>
      </c>
      <c r="AF6" s="47" t="s">
        <v>22</v>
      </c>
      <c r="AG6" s="47"/>
      <c r="AH6" s="48">
        <v>28</v>
      </c>
      <c r="AI6" s="49"/>
      <c r="AJ6" s="68">
        <v>20</v>
      </c>
      <c r="AK6" s="68">
        <v>2</v>
      </c>
      <c r="AL6" s="69">
        <v>7</v>
      </c>
      <c r="AM6" s="69">
        <v>6</v>
      </c>
      <c r="AN6" s="68">
        <v>0</v>
      </c>
      <c r="AO6" s="70">
        <v>28</v>
      </c>
      <c r="AP6" s="68">
        <v>20</v>
      </c>
      <c r="AQ6" s="68">
        <v>2</v>
      </c>
      <c r="AR6" s="69">
        <v>7</v>
      </c>
      <c r="AS6" s="69">
        <v>6</v>
      </c>
      <c r="AT6" s="68">
        <v>0</v>
      </c>
      <c r="AU6" s="70">
        <v>28</v>
      </c>
    </row>
    <row r="7" spans="1:47" s="18" customFormat="1" ht="17.25" customHeight="1" x14ac:dyDescent="0.3">
      <c r="A7" s="67"/>
      <c r="B7" s="19" t="s">
        <v>28</v>
      </c>
      <c r="C7" s="50"/>
      <c r="D7" s="50"/>
      <c r="E7" s="50" t="s">
        <v>29</v>
      </c>
      <c r="F7" s="50" t="s">
        <v>33</v>
      </c>
      <c r="G7" s="50"/>
      <c r="H7" s="50"/>
      <c r="I7" s="50"/>
      <c r="J7" s="50"/>
      <c r="K7" s="50" t="s">
        <v>29</v>
      </c>
      <c r="L7" s="50" t="s">
        <v>33</v>
      </c>
      <c r="M7" s="50"/>
      <c r="N7" s="50" t="s">
        <v>29</v>
      </c>
      <c r="O7" s="50" t="s">
        <v>33</v>
      </c>
      <c r="P7" s="50"/>
      <c r="Q7" s="50"/>
      <c r="R7" s="50"/>
      <c r="S7" s="50"/>
      <c r="T7" s="50" t="s">
        <v>29</v>
      </c>
      <c r="U7" s="50" t="s">
        <v>33</v>
      </c>
      <c r="V7" s="50"/>
      <c r="W7" s="50"/>
      <c r="X7" s="50"/>
      <c r="Y7" s="50" t="s">
        <v>29</v>
      </c>
      <c r="Z7" s="50" t="s">
        <v>33</v>
      </c>
      <c r="AA7" s="50"/>
      <c r="AB7" s="50" t="s">
        <v>29</v>
      </c>
      <c r="AC7" s="50" t="s">
        <v>33</v>
      </c>
      <c r="AD7" s="50"/>
      <c r="AE7" s="50"/>
      <c r="AF7" s="50" t="s">
        <v>29</v>
      </c>
      <c r="AG7" s="50"/>
      <c r="AH7" s="51" t="s">
        <v>115</v>
      </c>
      <c r="AI7" s="52"/>
      <c r="AJ7" s="68"/>
      <c r="AK7" s="68"/>
      <c r="AL7" s="69"/>
      <c r="AM7" s="69"/>
      <c r="AN7" s="68"/>
      <c r="AO7" s="70"/>
      <c r="AP7" s="68"/>
      <c r="AQ7" s="68"/>
      <c r="AR7" s="69"/>
      <c r="AS7" s="69"/>
      <c r="AT7" s="68"/>
      <c r="AU7" s="70"/>
    </row>
    <row r="8" spans="1:47" s="18" customFormat="1" ht="17.25" customHeight="1" x14ac:dyDescent="0.25">
      <c r="A8" s="71">
        <v>2</v>
      </c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16">
        <v>0</v>
      </c>
      <c r="AI8" s="2"/>
      <c r="AJ8" s="72">
        <f>+'[1]CÔNG THỨC'!AO8:AO9</f>
        <v>0</v>
      </c>
      <c r="AK8" s="72">
        <f>+'[1]CÔNG THỨC'!AP8:AP9</f>
        <v>0</v>
      </c>
      <c r="AL8" s="73">
        <f>+'[1]CÔNG THỨC'!AQ8:AQ9</f>
        <v>0</v>
      </c>
      <c r="AM8" s="73">
        <f>+'[1]CÔNG THỨC'!AR8:AR9</f>
        <v>0</v>
      </c>
      <c r="AN8" s="72">
        <f>+'[1]CÔNG THỨC'!AS8:AS9</f>
        <v>0</v>
      </c>
      <c r="AO8" s="74">
        <f>+AJ8+AN8+AK8+AM8</f>
        <v>0</v>
      </c>
      <c r="AP8" s="68"/>
      <c r="AQ8" s="68"/>
      <c r="AR8" s="69"/>
      <c r="AS8" s="69"/>
      <c r="AT8" s="68"/>
      <c r="AU8" s="70"/>
    </row>
    <row r="9" spans="1:47" s="18" customFormat="1" ht="17.25" customHeight="1" x14ac:dyDescent="0.3">
      <c r="A9" s="67"/>
      <c r="B9" s="19" t="s">
        <v>28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7" t="s">
        <v>34</v>
      </c>
      <c r="AI9" s="2"/>
      <c r="AJ9" s="72"/>
      <c r="AK9" s="72"/>
      <c r="AL9" s="73"/>
      <c r="AM9" s="73"/>
      <c r="AN9" s="72"/>
      <c r="AO9" s="74"/>
      <c r="AP9" s="68"/>
      <c r="AQ9" s="68"/>
      <c r="AR9" s="69"/>
      <c r="AS9" s="69"/>
      <c r="AT9" s="68"/>
      <c r="AU9" s="70"/>
    </row>
    <row r="10" spans="1:47" s="18" customFormat="1" ht="17.25" customHeight="1" x14ac:dyDescent="0.25">
      <c r="A10" s="71">
        <v>3</v>
      </c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16">
        <v>0</v>
      </c>
      <c r="AI10" s="1"/>
      <c r="AJ10" s="72">
        <f>+'[1]CÔNG THỨC'!AO10:AO11</f>
        <v>0</v>
      </c>
      <c r="AK10" s="72">
        <f>+'[1]CÔNG THỨC'!AP10:AP11</f>
        <v>0</v>
      </c>
      <c r="AL10" s="73">
        <f>+'[1]CÔNG THỨC'!AQ10:AQ11</f>
        <v>0</v>
      </c>
      <c r="AM10" s="73">
        <f>+'[1]CÔNG THỨC'!AR10:AR11</f>
        <v>0</v>
      </c>
      <c r="AN10" s="72">
        <f>+'[1]CÔNG THỨC'!AS10:AS11</f>
        <v>0</v>
      </c>
      <c r="AO10" s="74">
        <f t="shared" ref="AO10" si="0">+AJ10+AN10+AK10+AM10</f>
        <v>0</v>
      </c>
      <c r="AP10" s="68"/>
      <c r="AQ10" s="68"/>
      <c r="AR10" s="69"/>
      <c r="AS10" s="69"/>
      <c r="AT10" s="68"/>
      <c r="AU10" s="70"/>
    </row>
    <row r="11" spans="1:47" s="18" customFormat="1" ht="17.25" customHeight="1" x14ac:dyDescent="0.3">
      <c r="A11" s="67"/>
      <c r="B11" s="19" t="s">
        <v>37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7" t="s">
        <v>34</v>
      </c>
      <c r="AI11" s="8"/>
      <c r="AJ11" s="72"/>
      <c r="AK11" s="72"/>
      <c r="AL11" s="73"/>
      <c r="AM11" s="73"/>
      <c r="AN11" s="72"/>
      <c r="AO11" s="74"/>
      <c r="AP11" s="68"/>
      <c r="AQ11" s="68"/>
      <c r="AR11" s="69"/>
      <c r="AS11" s="69"/>
      <c r="AT11" s="68"/>
      <c r="AU11" s="70"/>
    </row>
    <row r="12" spans="1:47" s="18" customFormat="1" ht="17.25" customHeight="1" x14ac:dyDescent="0.25">
      <c r="A12" s="71">
        <v>4</v>
      </c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16">
        <v>0</v>
      </c>
      <c r="AI12" s="1"/>
      <c r="AJ12" s="72">
        <f>+'[1]CÔNG THỨC'!AO12:AO13</f>
        <v>0</v>
      </c>
      <c r="AK12" s="72">
        <f>+'[1]CÔNG THỨC'!AP12:AP13</f>
        <v>0</v>
      </c>
      <c r="AL12" s="73">
        <f>+'[1]CÔNG THỨC'!AQ12:AQ13</f>
        <v>0</v>
      </c>
      <c r="AM12" s="73">
        <f>+'[1]CÔNG THỨC'!AR12:AR13</f>
        <v>0</v>
      </c>
      <c r="AN12" s="72">
        <f>+'[1]CÔNG THỨC'!AS12:AS13</f>
        <v>0</v>
      </c>
      <c r="AO12" s="74">
        <f t="shared" ref="AO12" si="1">+AJ12+AN12+AK12+AM12</f>
        <v>0</v>
      </c>
      <c r="AP12" s="68"/>
      <c r="AQ12" s="68"/>
      <c r="AR12" s="69"/>
      <c r="AS12" s="69"/>
      <c r="AT12" s="68"/>
      <c r="AU12" s="70"/>
    </row>
    <row r="13" spans="1:47" s="18" customFormat="1" ht="17.25" customHeight="1" x14ac:dyDescent="0.3">
      <c r="A13" s="67"/>
      <c r="B13" s="19" t="s">
        <v>37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7" t="s">
        <v>34</v>
      </c>
      <c r="AI13" s="8"/>
      <c r="AJ13" s="72"/>
      <c r="AK13" s="72"/>
      <c r="AL13" s="73"/>
      <c r="AM13" s="73"/>
      <c r="AN13" s="72"/>
      <c r="AO13" s="74"/>
      <c r="AP13" s="68"/>
      <c r="AQ13" s="68"/>
      <c r="AR13" s="69"/>
      <c r="AS13" s="69"/>
      <c r="AT13" s="68"/>
      <c r="AU13" s="70"/>
    </row>
    <row r="14" spans="1:47" s="18" customFormat="1" ht="17.25" customHeight="1" x14ac:dyDescent="0.25">
      <c r="A14" s="71">
        <v>5</v>
      </c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16">
        <v>0</v>
      </c>
      <c r="AI14" s="1"/>
      <c r="AJ14" s="72">
        <f>+'[1]CÔNG THỨC'!AO14:AO15</f>
        <v>0</v>
      </c>
      <c r="AK14" s="72">
        <f>+'[1]CÔNG THỨC'!AP14:AP15</f>
        <v>0</v>
      </c>
      <c r="AL14" s="73">
        <f>+'[1]CÔNG THỨC'!AQ14:AQ15</f>
        <v>0</v>
      </c>
      <c r="AM14" s="73">
        <f>+'[1]CÔNG THỨC'!AR14:AR15</f>
        <v>0</v>
      </c>
      <c r="AN14" s="72">
        <f>+'[1]CÔNG THỨC'!AS14:AS15</f>
        <v>0</v>
      </c>
      <c r="AO14" s="74">
        <f t="shared" ref="AO14" si="2">+AJ14+AN14+AK14+AM14</f>
        <v>0</v>
      </c>
      <c r="AP14" s="68"/>
      <c r="AQ14" s="68"/>
      <c r="AR14" s="69"/>
      <c r="AS14" s="69"/>
      <c r="AT14" s="68"/>
      <c r="AU14" s="70"/>
    </row>
    <row r="15" spans="1:47" s="18" customFormat="1" ht="17.25" customHeight="1" x14ac:dyDescent="0.3">
      <c r="A15" s="67"/>
      <c r="B15" s="19" t="s">
        <v>37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7" t="s">
        <v>34</v>
      </c>
      <c r="AI15" s="8"/>
      <c r="AJ15" s="72"/>
      <c r="AK15" s="72"/>
      <c r="AL15" s="73"/>
      <c r="AM15" s="73"/>
      <c r="AN15" s="72"/>
      <c r="AO15" s="74"/>
      <c r="AP15" s="68"/>
      <c r="AQ15" s="68"/>
      <c r="AR15" s="69"/>
      <c r="AS15" s="69"/>
      <c r="AT15" s="68"/>
      <c r="AU15" s="70"/>
    </row>
    <row r="16" spans="1:47" s="18" customFormat="1" ht="17.25" customHeight="1" x14ac:dyDescent="0.25">
      <c r="A16" s="71">
        <v>6</v>
      </c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16">
        <v>0</v>
      </c>
      <c r="AI16" s="1"/>
      <c r="AJ16" s="72">
        <f>+'[1]CÔNG THỨC'!AO16:AO17</f>
        <v>0</v>
      </c>
      <c r="AK16" s="72">
        <f>+'[1]CÔNG THỨC'!AP16:AP17</f>
        <v>0</v>
      </c>
      <c r="AL16" s="73">
        <f>+'[1]CÔNG THỨC'!AQ16:AQ17</f>
        <v>0</v>
      </c>
      <c r="AM16" s="73">
        <f>+'[1]CÔNG THỨC'!AR16:AR17</f>
        <v>0</v>
      </c>
      <c r="AN16" s="72">
        <f>+'[1]CÔNG THỨC'!AS16:AS17</f>
        <v>0</v>
      </c>
      <c r="AO16" s="74">
        <f t="shared" ref="AO16" si="3">+AJ16+AN16+AK16+AM16</f>
        <v>0</v>
      </c>
      <c r="AP16" s="68"/>
      <c r="AQ16" s="68"/>
      <c r="AR16" s="69"/>
      <c r="AS16" s="69"/>
      <c r="AT16" s="68"/>
      <c r="AU16" s="70"/>
    </row>
    <row r="17" spans="1:47" s="18" customFormat="1" ht="17.25" customHeight="1" x14ac:dyDescent="0.3">
      <c r="A17" s="67"/>
      <c r="B17" s="19" t="s">
        <v>37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7" t="s">
        <v>34</v>
      </c>
      <c r="AI17" s="8"/>
      <c r="AJ17" s="72"/>
      <c r="AK17" s="72"/>
      <c r="AL17" s="73"/>
      <c r="AM17" s="73"/>
      <c r="AN17" s="72"/>
      <c r="AO17" s="74"/>
      <c r="AP17" s="68"/>
      <c r="AQ17" s="68"/>
      <c r="AR17" s="69"/>
      <c r="AS17" s="69"/>
      <c r="AT17" s="68"/>
      <c r="AU17" s="70"/>
    </row>
    <row r="18" spans="1:47" s="18" customFormat="1" ht="17.25" customHeight="1" x14ac:dyDescent="0.25">
      <c r="A18" s="71">
        <v>7</v>
      </c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16">
        <v>0</v>
      </c>
      <c r="AI18" s="1"/>
      <c r="AJ18" s="72">
        <f>+'[1]CÔNG THỨC'!AO18:AO19</f>
        <v>0</v>
      </c>
      <c r="AK18" s="72">
        <f>+'[1]CÔNG THỨC'!AP18:AP19</f>
        <v>0</v>
      </c>
      <c r="AL18" s="73">
        <f>+'[1]CÔNG THỨC'!AQ18:AQ19</f>
        <v>0</v>
      </c>
      <c r="AM18" s="73">
        <f>+'[1]CÔNG THỨC'!AR18:AR19</f>
        <v>0</v>
      </c>
      <c r="AN18" s="72">
        <f>+'[1]CÔNG THỨC'!AS18:AS19</f>
        <v>0</v>
      </c>
      <c r="AO18" s="74">
        <f t="shared" ref="AO18" si="4">+AJ18+AN18+AK18+AM18</f>
        <v>0</v>
      </c>
      <c r="AP18" s="68"/>
      <c r="AQ18" s="68"/>
      <c r="AR18" s="69"/>
      <c r="AS18" s="69"/>
      <c r="AT18" s="68"/>
      <c r="AU18" s="70"/>
    </row>
    <row r="19" spans="1:47" s="18" customFormat="1" ht="17.25" customHeight="1" x14ac:dyDescent="0.3">
      <c r="A19" s="67"/>
      <c r="B19" s="19" t="s">
        <v>37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7" t="s">
        <v>34</v>
      </c>
      <c r="AI19" s="8"/>
      <c r="AJ19" s="72"/>
      <c r="AK19" s="72"/>
      <c r="AL19" s="73"/>
      <c r="AM19" s="73"/>
      <c r="AN19" s="72"/>
      <c r="AO19" s="74"/>
      <c r="AP19" s="68"/>
      <c r="AQ19" s="68"/>
      <c r="AR19" s="69"/>
      <c r="AS19" s="69"/>
      <c r="AT19" s="68"/>
      <c r="AU19" s="70"/>
    </row>
    <row r="20" spans="1:47" s="18" customFormat="1" ht="17.25" customHeight="1" x14ac:dyDescent="0.25">
      <c r="A20" s="71">
        <v>8</v>
      </c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16">
        <v>0</v>
      </c>
      <c r="AI20" s="1"/>
      <c r="AJ20" s="72">
        <f>+'[1]CÔNG THỨC'!AO20:AO21</f>
        <v>0</v>
      </c>
      <c r="AK20" s="72">
        <f>+'[1]CÔNG THỨC'!AP20:AP21</f>
        <v>0</v>
      </c>
      <c r="AL20" s="73">
        <f>+'[1]CÔNG THỨC'!AQ20:AQ21</f>
        <v>0</v>
      </c>
      <c r="AM20" s="73">
        <f>+'[1]CÔNG THỨC'!AR20:AR21</f>
        <v>0</v>
      </c>
      <c r="AN20" s="72">
        <f>+'[1]CÔNG THỨC'!AS20:AS21</f>
        <v>0</v>
      </c>
      <c r="AO20" s="74">
        <f t="shared" ref="AO20" si="5">+AJ20+AN20+AK20+AM20</f>
        <v>0</v>
      </c>
      <c r="AP20" s="68"/>
      <c r="AQ20" s="68"/>
      <c r="AR20" s="69"/>
      <c r="AS20" s="69"/>
      <c r="AT20" s="68"/>
      <c r="AU20" s="70"/>
    </row>
    <row r="21" spans="1:47" s="18" customFormat="1" ht="17.25" customHeight="1" x14ac:dyDescent="0.3">
      <c r="A21" s="67"/>
      <c r="B21" s="19" t="s">
        <v>37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7" t="s">
        <v>34</v>
      </c>
      <c r="AI21" s="8"/>
      <c r="AJ21" s="72"/>
      <c r="AK21" s="72"/>
      <c r="AL21" s="73"/>
      <c r="AM21" s="73"/>
      <c r="AN21" s="72"/>
      <c r="AO21" s="74"/>
      <c r="AP21" s="68"/>
      <c r="AQ21" s="68"/>
      <c r="AR21" s="69"/>
      <c r="AS21" s="69"/>
      <c r="AT21" s="68"/>
      <c r="AU21" s="70"/>
    </row>
    <row r="22" spans="1:47" s="18" customFormat="1" ht="17.25" customHeight="1" x14ac:dyDescent="0.25">
      <c r="A22" s="71">
        <v>9</v>
      </c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16">
        <v>0</v>
      </c>
      <c r="AI22" s="1"/>
      <c r="AJ22" s="72">
        <f>+'[1]CÔNG THỨC'!AO22:AO23</f>
        <v>0</v>
      </c>
      <c r="AK22" s="72">
        <f>+'[1]CÔNG THỨC'!AP22:AP23</f>
        <v>0</v>
      </c>
      <c r="AL22" s="73">
        <f>+'[1]CÔNG THỨC'!AQ22:AQ23</f>
        <v>0</v>
      </c>
      <c r="AM22" s="73">
        <f>+'[1]CÔNG THỨC'!AR22:AR23</f>
        <v>0</v>
      </c>
      <c r="AN22" s="72">
        <f>+'[1]CÔNG THỨC'!AS22:AS23</f>
        <v>0</v>
      </c>
      <c r="AO22" s="74">
        <f t="shared" ref="AO22" si="6">+AJ22+AN22+AK22+AM22</f>
        <v>0</v>
      </c>
      <c r="AP22" s="68"/>
      <c r="AQ22" s="68"/>
      <c r="AR22" s="69"/>
      <c r="AS22" s="69"/>
      <c r="AT22" s="68"/>
      <c r="AU22" s="70"/>
    </row>
    <row r="23" spans="1:47" s="18" customFormat="1" ht="17.25" customHeight="1" x14ac:dyDescent="0.3">
      <c r="A23" s="67"/>
      <c r="B23" s="19" t="s">
        <v>37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7" t="s">
        <v>34</v>
      </c>
      <c r="AI23" s="8"/>
      <c r="AJ23" s="72"/>
      <c r="AK23" s="72"/>
      <c r="AL23" s="73"/>
      <c r="AM23" s="73"/>
      <c r="AN23" s="72"/>
      <c r="AO23" s="74"/>
      <c r="AP23" s="68"/>
      <c r="AQ23" s="68"/>
      <c r="AR23" s="69"/>
      <c r="AS23" s="69"/>
      <c r="AT23" s="68"/>
      <c r="AU23" s="70"/>
    </row>
    <row r="24" spans="1:47" s="18" customFormat="1" ht="17.25" customHeight="1" x14ac:dyDescent="0.25">
      <c r="A24" s="71">
        <v>10</v>
      </c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16">
        <v>0</v>
      </c>
      <c r="AI24" s="1"/>
      <c r="AJ24" s="72">
        <f>+'[1]CÔNG THỨC'!AO24:AO25</f>
        <v>0</v>
      </c>
      <c r="AK24" s="72">
        <f>+'[1]CÔNG THỨC'!AP24:AP25</f>
        <v>0</v>
      </c>
      <c r="AL24" s="73">
        <f>+'[1]CÔNG THỨC'!AQ24:AQ25</f>
        <v>0</v>
      </c>
      <c r="AM24" s="73">
        <f>+'[1]CÔNG THỨC'!AR24:AR25</f>
        <v>0</v>
      </c>
      <c r="AN24" s="72">
        <f>+'[1]CÔNG THỨC'!AS24:AS25</f>
        <v>0</v>
      </c>
      <c r="AO24" s="74">
        <f t="shared" ref="AO24" si="7">+AJ24+AN24+AK24+AM24</f>
        <v>0</v>
      </c>
      <c r="AP24" s="68"/>
      <c r="AQ24" s="68"/>
      <c r="AR24" s="69"/>
      <c r="AS24" s="69"/>
      <c r="AT24" s="68"/>
      <c r="AU24" s="70"/>
    </row>
    <row r="25" spans="1:47" s="18" customFormat="1" ht="17.25" customHeight="1" x14ac:dyDescent="0.3">
      <c r="A25" s="67"/>
      <c r="B25" s="19" t="s">
        <v>37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7" t="s">
        <v>34</v>
      </c>
      <c r="AI25" s="8"/>
      <c r="AJ25" s="72"/>
      <c r="AK25" s="72"/>
      <c r="AL25" s="73"/>
      <c r="AM25" s="73"/>
      <c r="AN25" s="72"/>
      <c r="AO25" s="74"/>
      <c r="AP25" s="68"/>
      <c r="AQ25" s="68"/>
      <c r="AR25" s="69"/>
      <c r="AS25" s="69"/>
      <c r="AT25" s="68"/>
      <c r="AU25" s="70"/>
    </row>
    <row r="26" spans="1:47" s="18" customFormat="1" ht="17.25" customHeight="1" x14ac:dyDescent="0.25">
      <c r="A26" s="71">
        <v>11</v>
      </c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16">
        <v>0</v>
      </c>
      <c r="AI26" s="1"/>
      <c r="AJ26" s="72">
        <f>+'[1]CÔNG THỨC'!AO26:AO27</f>
        <v>0</v>
      </c>
      <c r="AK26" s="72">
        <f>+'[1]CÔNG THỨC'!AP26:AP27</f>
        <v>0</v>
      </c>
      <c r="AL26" s="73">
        <f>+'[1]CÔNG THỨC'!AQ26:AQ27</f>
        <v>0</v>
      </c>
      <c r="AM26" s="73">
        <f>+'[1]CÔNG THỨC'!AR26:AR27</f>
        <v>0</v>
      </c>
      <c r="AN26" s="72">
        <f>+'[1]CÔNG THỨC'!AS26:AS27</f>
        <v>0</v>
      </c>
      <c r="AO26" s="74">
        <f t="shared" ref="AO26" si="8">+AJ26+AN26+AK26+AM26</f>
        <v>0</v>
      </c>
      <c r="AP26" s="68"/>
      <c r="AQ26" s="68"/>
      <c r="AR26" s="69"/>
      <c r="AS26" s="69"/>
      <c r="AT26" s="68"/>
      <c r="AU26" s="70"/>
    </row>
    <row r="27" spans="1:47" s="18" customFormat="1" ht="17.25" customHeight="1" x14ac:dyDescent="0.3">
      <c r="A27" s="67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7" t="s">
        <v>34</v>
      </c>
      <c r="AI27" s="8"/>
      <c r="AJ27" s="72"/>
      <c r="AK27" s="72"/>
      <c r="AL27" s="73"/>
      <c r="AM27" s="73"/>
      <c r="AN27" s="72"/>
      <c r="AO27" s="74"/>
      <c r="AP27" s="68"/>
      <c r="AQ27" s="68"/>
      <c r="AR27" s="69"/>
      <c r="AS27" s="69"/>
      <c r="AT27" s="68"/>
      <c r="AU27" s="70"/>
    </row>
    <row r="28" spans="1:47" s="18" customFormat="1" ht="17.25" customHeight="1" x14ac:dyDescent="0.25">
      <c r="A28" s="71">
        <v>12</v>
      </c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16">
        <v>0</v>
      </c>
      <c r="AI28" s="1"/>
      <c r="AJ28" s="72">
        <f>+'[1]CÔNG THỨC'!AO28:AO29</f>
        <v>0</v>
      </c>
      <c r="AK28" s="72">
        <f>+'[1]CÔNG THỨC'!AP28:AP29</f>
        <v>0</v>
      </c>
      <c r="AL28" s="73">
        <f>+'[1]CÔNG THỨC'!AQ28:AQ29</f>
        <v>0</v>
      </c>
      <c r="AM28" s="73">
        <f>+'[1]CÔNG THỨC'!AR28:AR29</f>
        <v>0</v>
      </c>
      <c r="AN28" s="72">
        <f>+'[1]CÔNG THỨC'!AS28:AS29</f>
        <v>0</v>
      </c>
      <c r="AO28" s="74">
        <f t="shared" ref="AO28" si="9">+AJ28+AN28+AK28+AM28</f>
        <v>0</v>
      </c>
      <c r="AP28" s="68"/>
      <c r="AQ28" s="68"/>
      <c r="AR28" s="69"/>
      <c r="AS28" s="69"/>
      <c r="AT28" s="68"/>
      <c r="AU28" s="70"/>
    </row>
    <row r="29" spans="1:47" s="18" customFormat="1" ht="17.25" customHeight="1" x14ac:dyDescent="0.3">
      <c r="A29" s="67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7" t="s">
        <v>34</v>
      </c>
      <c r="AI29" s="8"/>
      <c r="AJ29" s="72"/>
      <c r="AK29" s="72"/>
      <c r="AL29" s="73"/>
      <c r="AM29" s="73"/>
      <c r="AN29" s="72"/>
      <c r="AO29" s="74"/>
      <c r="AP29" s="68"/>
      <c r="AQ29" s="68"/>
      <c r="AR29" s="69"/>
      <c r="AS29" s="69"/>
      <c r="AT29" s="68"/>
      <c r="AU29" s="70"/>
    </row>
    <row r="30" spans="1:47" s="18" customFormat="1" ht="17.25" customHeight="1" x14ac:dyDescent="0.25">
      <c r="A30" s="71">
        <v>13</v>
      </c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16">
        <v>0</v>
      </c>
      <c r="AI30" s="1"/>
      <c r="AJ30" s="72">
        <f>+'[1]CÔNG THỨC'!AO30:AO31</f>
        <v>0</v>
      </c>
      <c r="AK30" s="72">
        <f>+'[1]CÔNG THỨC'!AP30:AP31</f>
        <v>0</v>
      </c>
      <c r="AL30" s="73">
        <f>+'[1]CÔNG THỨC'!AQ30:AQ31</f>
        <v>0</v>
      </c>
      <c r="AM30" s="73">
        <f>+'[1]CÔNG THỨC'!AR30:AR31</f>
        <v>0</v>
      </c>
      <c r="AN30" s="72">
        <f>+'[1]CÔNG THỨC'!AS30:AS31</f>
        <v>0</v>
      </c>
      <c r="AO30" s="74">
        <f t="shared" ref="AO30" si="10">+AJ30+AN30+AK30+AM30</f>
        <v>0</v>
      </c>
      <c r="AP30" s="68"/>
      <c r="AQ30" s="68"/>
      <c r="AR30" s="69"/>
      <c r="AS30" s="69"/>
      <c r="AT30" s="68"/>
      <c r="AU30" s="70"/>
    </row>
    <row r="31" spans="1:47" s="18" customFormat="1" ht="17.25" customHeight="1" x14ac:dyDescent="0.3">
      <c r="A31" s="67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7" t="s">
        <v>34</v>
      </c>
      <c r="AI31" s="8"/>
      <c r="AJ31" s="72"/>
      <c r="AK31" s="72"/>
      <c r="AL31" s="73"/>
      <c r="AM31" s="73"/>
      <c r="AN31" s="72"/>
      <c r="AO31" s="74"/>
      <c r="AP31" s="68"/>
      <c r="AQ31" s="68"/>
      <c r="AR31" s="69"/>
      <c r="AS31" s="69"/>
      <c r="AT31" s="68"/>
      <c r="AU31" s="70"/>
    </row>
    <row r="32" spans="1:47" s="18" customFormat="1" ht="17.25" hidden="1" customHeight="1" x14ac:dyDescent="0.25">
      <c r="A32" s="71">
        <v>14</v>
      </c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16">
        <v>0</v>
      </c>
      <c r="AI32" s="1"/>
      <c r="AJ32" s="72">
        <f>+'[1]CÔNG THỨC'!AO32:AO33</f>
        <v>0</v>
      </c>
      <c r="AK32" s="72">
        <f>+'[1]CÔNG THỨC'!AP32:AP33</f>
        <v>0</v>
      </c>
      <c r="AL32" s="73">
        <f>+'[1]CÔNG THỨC'!AQ32:AQ33</f>
        <v>0</v>
      </c>
      <c r="AM32" s="73">
        <f>+'[1]CÔNG THỨC'!AR32:AR33</f>
        <v>0</v>
      </c>
      <c r="AN32" s="72">
        <f>+'[1]CÔNG THỨC'!AS32:AS33</f>
        <v>0</v>
      </c>
      <c r="AO32" s="74">
        <f t="shared" ref="AO32" si="11">+AJ32+AN32+AK32+AM32</f>
        <v>0</v>
      </c>
      <c r="AP32" s="68">
        <v>20</v>
      </c>
      <c r="AQ32" s="68">
        <v>1</v>
      </c>
      <c r="AR32" s="69">
        <v>7</v>
      </c>
      <c r="AS32" s="69">
        <v>7</v>
      </c>
      <c r="AT32" s="68">
        <v>0</v>
      </c>
      <c r="AU32" s="70">
        <v>28</v>
      </c>
    </row>
    <row r="33" spans="1:47" s="18" customFormat="1" ht="17.25" hidden="1" customHeight="1" x14ac:dyDescent="0.3">
      <c r="A33" s="67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7" t="s">
        <v>34</v>
      </c>
      <c r="AI33" s="8"/>
      <c r="AJ33" s="72"/>
      <c r="AK33" s="72"/>
      <c r="AL33" s="73"/>
      <c r="AM33" s="73"/>
      <c r="AN33" s="72"/>
      <c r="AO33" s="74"/>
      <c r="AP33" s="68"/>
      <c r="AQ33" s="68"/>
      <c r="AR33" s="69"/>
      <c r="AS33" s="69"/>
      <c r="AT33" s="68"/>
      <c r="AU33" s="70"/>
    </row>
    <row r="34" spans="1:47" s="18" customFormat="1" ht="17.25" hidden="1" customHeight="1" x14ac:dyDescent="0.25">
      <c r="A34" s="71">
        <v>15</v>
      </c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16">
        <v>0</v>
      </c>
      <c r="AI34" s="1"/>
      <c r="AJ34" s="72">
        <f>+'[1]CÔNG THỨC'!AO34:AO35</f>
        <v>0</v>
      </c>
      <c r="AK34" s="72">
        <f>+'[1]CÔNG THỨC'!AP34:AP35</f>
        <v>0</v>
      </c>
      <c r="AL34" s="73">
        <f>+'[1]CÔNG THỨC'!AQ34:AQ35</f>
        <v>0</v>
      </c>
      <c r="AM34" s="73">
        <f>+'[1]CÔNG THỨC'!AR34:AR35</f>
        <v>0</v>
      </c>
      <c r="AN34" s="72">
        <f>+'[1]CÔNG THỨC'!AS34:AS35</f>
        <v>0</v>
      </c>
      <c r="AO34" s="74">
        <f t="shared" ref="AO34" si="12">+AJ34+AN34+AK34+AM34</f>
        <v>0</v>
      </c>
      <c r="AP34" s="68">
        <v>0</v>
      </c>
      <c r="AQ34" s="68">
        <v>0</v>
      </c>
      <c r="AR34" s="69">
        <v>0</v>
      </c>
      <c r="AS34" s="69">
        <v>0</v>
      </c>
      <c r="AT34" s="68">
        <v>0</v>
      </c>
      <c r="AU34" s="70">
        <v>0</v>
      </c>
    </row>
    <row r="35" spans="1:47" s="18" customFormat="1" ht="17.25" hidden="1" customHeight="1" x14ac:dyDescent="0.3">
      <c r="A35" s="67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7" t="s">
        <v>34</v>
      </c>
      <c r="AI35" s="8"/>
      <c r="AJ35" s="72"/>
      <c r="AK35" s="72"/>
      <c r="AL35" s="73"/>
      <c r="AM35" s="73"/>
      <c r="AN35" s="72"/>
      <c r="AO35" s="74"/>
      <c r="AP35" s="68"/>
      <c r="AQ35" s="68"/>
      <c r="AR35" s="69"/>
      <c r="AS35" s="69"/>
      <c r="AT35" s="68"/>
      <c r="AU35" s="70"/>
    </row>
    <row r="36" spans="1:47" s="18" customFormat="1" ht="17.25" hidden="1" customHeight="1" x14ac:dyDescent="0.25">
      <c r="A36" s="71">
        <v>16</v>
      </c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16">
        <v>0</v>
      </c>
      <c r="AI36" s="1"/>
      <c r="AJ36" s="72">
        <f>+'[1]CÔNG THỨC'!AO36:AO37</f>
        <v>0</v>
      </c>
      <c r="AK36" s="72">
        <f>+'[1]CÔNG THỨC'!AP36:AP37</f>
        <v>0</v>
      </c>
      <c r="AL36" s="73">
        <f>+'[1]CÔNG THỨC'!AQ36:AQ37</f>
        <v>0</v>
      </c>
      <c r="AM36" s="73">
        <f>+'[1]CÔNG THỨC'!AR36:AR37</f>
        <v>0</v>
      </c>
      <c r="AN36" s="72">
        <f>+'[1]CÔNG THỨC'!AS36:AS37</f>
        <v>0</v>
      </c>
      <c r="AO36" s="74">
        <f t="shared" ref="AO36" si="13">+AJ36+AN36+AK36+AM36</f>
        <v>0</v>
      </c>
      <c r="AP36" s="68">
        <v>0</v>
      </c>
      <c r="AQ36" s="68">
        <v>0</v>
      </c>
      <c r="AR36" s="69">
        <v>0</v>
      </c>
      <c r="AS36" s="69">
        <v>0</v>
      </c>
      <c r="AT36" s="68">
        <v>0</v>
      </c>
      <c r="AU36" s="70">
        <v>0</v>
      </c>
    </row>
    <row r="37" spans="1:47" s="18" customFormat="1" ht="17.25" hidden="1" customHeight="1" x14ac:dyDescent="0.3">
      <c r="A37" s="67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7" t="s">
        <v>34</v>
      </c>
      <c r="AI37" s="8"/>
      <c r="AJ37" s="72"/>
      <c r="AK37" s="72"/>
      <c r="AL37" s="73"/>
      <c r="AM37" s="73"/>
      <c r="AN37" s="72"/>
      <c r="AO37" s="74"/>
      <c r="AP37" s="68"/>
      <c r="AQ37" s="68"/>
      <c r="AR37" s="69"/>
      <c r="AS37" s="69"/>
      <c r="AT37" s="68"/>
      <c r="AU37" s="70"/>
    </row>
    <row r="38" spans="1:47" s="18" customFormat="1" ht="17.25" hidden="1" customHeight="1" x14ac:dyDescent="0.25">
      <c r="A38" s="71">
        <v>17</v>
      </c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16">
        <v>0</v>
      </c>
      <c r="AI38" s="1"/>
      <c r="AJ38" s="72">
        <f>+'[1]CÔNG THỨC'!AO38:AO39</f>
        <v>0</v>
      </c>
      <c r="AK38" s="72">
        <f>+'[1]CÔNG THỨC'!AP38:AP39</f>
        <v>0</v>
      </c>
      <c r="AL38" s="73">
        <f>+'[1]CÔNG THỨC'!AQ38:AQ39</f>
        <v>0</v>
      </c>
      <c r="AM38" s="73">
        <f>+'[1]CÔNG THỨC'!AR38:AR39</f>
        <v>0</v>
      </c>
      <c r="AN38" s="72">
        <f>+'[1]CÔNG THỨC'!AS38:AS39</f>
        <v>0</v>
      </c>
      <c r="AO38" s="74">
        <f t="shared" ref="AO38" si="14">+AJ38+AN38+AK38+AM38</f>
        <v>0</v>
      </c>
      <c r="AP38" s="68">
        <v>0</v>
      </c>
      <c r="AQ38" s="68">
        <v>0</v>
      </c>
      <c r="AR38" s="69">
        <v>0</v>
      </c>
      <c r="AS38" s="69">
        <v>0</v>
      </c>
      <c r="AT38" s="68">
        <v>0</v>
      </c>
      <c r="AU38" s="70">
        <v>0</v>
      </c>
    </row>
    <row r="39" spans="1:47" s="18" customFormat="1" ht="17.25" hidden="1" customHeight="1" x14ac:dyDescent="0.3">
      <c r="A39" s="67"/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7" t="s">
        <v>34</v>
      </c>
      <c r="AI39" s="8"/>
      <c r="AJ39" s="72"/>
      <c r="AK39" s="72"/>
      <c r="AL39" s="73"/>
      <c r="AM39" s="73"/>
      <c r="AN39" s="72"/>
      <c r="AO39" s="74"/>
      <c r="AP39" s="68"/>
      <c r="AQ39" s="68"/>
      <c r="AR39" s="69"/>
      <c r="AS39" s="69"/>
      <c r="AT39" s="68"/>
      <c r="AU39" s="70"/>
    </row>
    <row r="40" spans="1:47" s="18" customFormat="1" ht="17.25" hidden="1" customHeight="1" x14ac:dyDescent="0.25">
      <c r="A40" s="71">
        <v>18</v>
      </c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16">
        <v>0</v>
      </c>
      <c r="AI40" s="1"/>
      <c r="AJ40" s="72">
        <f>+'[1]CÔNG THỨC'!AO40:AO41</f>
        <v>0</v>
      </c>
      <c r="AK40" s="72">
        <f>+'[1]CÔNG THỨC'!AP40:AP41</f>
        <v>0</v>
      </c>
      <c r="AL40" s="73">
        <f>+'[1]CÔNG THỨC'!AQ40:AQ41</f>
        <v>0</v>
      </c>
      <c r="AM40" s="73">
        <f>+'[1]CÔNG THỨC'!AR40:AR41</f>
        <v>0</v>
      </c>
      <c r="AN40" s="72">
        <f>+'[1]CÔNG THỨC'!AS40:AS41</f>
        <v>0</v>
      </c>
      <c r="AO40" s="74">
        <f t="shared" ref="AO40" si="15">+AJ40+AN40+AK40+AM40</f>
        <v>0</v>
      </c>
      <c r="AP40" s="68">
        <v>0</v>
      </c>
      <c r="AQ40" s="68">
        <v>0</v>
      </c>
      <c r="AR40" s="69">
        <v>0</v>
      </c>
      <c r="AS40" s="69">
        <v>0</v>
      </c>
      <c r="AT40" s="68">
        <v>0</v>
      </c>
      <c r="AU40" s="70">
        <v>0</v>
      </c>
    </row>
    <row r="41" spans="1:47" s="18" customFormat="1" ht="17.25" hidden="1" customHeight="1" x14ac:dyDescent="0.3">
      <c r="A41" s="67"/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7" t="s">
        <v>34</v>
      </c>
      <c r="AI41" s="8"/>
      <c r="AJ41" s="72"/>
      <c r="AK41" s="72"/>
      <c r="AL41" s="73"/>
      <c r="AM41" s="73"/>
      <c r="AN41" s="72"/>
      <c r="AO41" s="74"/>
      <c r="AP41" s="68"/>
      <c r="AQ41" s="68"/>
      <c r="AR41" s="69"/>
      <c r="AS41" s="69"/>
      <c r="AT41" s="68"/>
      <c r="AU41" s="70"/>
    </row>
    <row r="42" spans="1:47" s="18" customFormat="1" ht="17.25" hidden="1" customHeight="1" x14ac:dyDescent="0.25">
      <c r="A42" s="71">
        <v>19</v>
      </c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16">
        <v>0</v>
      </c>
      <c r="AI42" s="1"/>
      <c r="AJ42" s="72">
        <f>+'[1]CÔNG THỨC'!AO42:AO43</f>
        <v>0</v>
      </c>
      <c r="AK42" s="72">
        <f>+'[1]CÔNG THỨC'!AP42:AP43</f>
        <v>0</v>
      </c>
      <c r="AL42" s="73">
        <f>+'[1]CÔNG THỨC'!AQ42:AQ43</f>
        <v>0</v>
      </c>
      <c r="AM42" s="73">
        <f>+'[1]CÔNG THỨC'!AR42:AR43</f>
        <v>0</v>
      </c>
      <c r="AN42" s="72">
        <f>+'[1]CÔNG THỨC'!AS42:AS43</f>
        <v>0</v>
      </c>
      <c r="AO42" s="74">
        <f t="shared" ref="AO42" si="16">+AJ42+AN42+AK42+AM42</f>
        <v>0</v>
      </c>
      <c r="AP42" s="68">
        <v>0</v>
      </c>
      <c r="AQ42" s="68">
        <v>0</v>
      </c>
      <c r="AR42" s="69">
        <v>0</v>
      </c>
      <c r="AS42" s="69">
        <v>0</v>
      </c>
      <c r="AT42" s="68">
        <v>0</v>
      </c>
      <c r="AU42" s="70">
        <v>0</v>
      </c>
    </row>
    <row r="43" spans="1:47" s="18" customFormat="1" ht="17.25" hidden="1" customHeight="1" x14ac:dyDescent="0.3">
      <c r="A43" s="67">
        <v>20.3333333333333</v>
      </c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7" t="s">
        <v>34</v>
      </c>
      <c r="AI43" s="8"/>
      <c r="AJ43" s="72"/>
      <c r="AK43" s="72"/>
      <c r="AL43" s="73"/>
      <c r="AM43" s="73"/>
      <c r="AN43" s="72"/>
      <c r="AO43" s="74"/>
      <c r="AP43" s="68"/>
      <c r="AQ43" s="68"/>
      <c r="AR43" s="69"/>
      <c r="AS43" s="69"/>
      <c r="AT43" s="68"/>
      <c r="AU43" s="70"/>
    </row>
    <row r="44" spans="1:47" s="18" customFormat="1" ht="17.25" hidden="1" customHeight="1" x14ac:dyDescent="0.25">
      <c r="A44" s="71">
        <v>20</v>
      </c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16">
        <v>0</v>
      </c>
      <c r="AI44" s="1"/>
      <c r="AJ44" s="72">
        <f>+'[1]CÔNG THỨC'!AO44:AO45</f>
        <v>0</v>
      </c>
      <c r="AK44" s="72">
        <f>+'[1]CÔNG THỨC'!AP44:AP45</f>
        <v>0</v>
      </c>
      <c r="AL44" s="73">
        <f>+'[1]CÔNG THỨC'!AQ44:AQ45</f>
        <v>0</v>
      </c>
      <c r="AM44" s="73">
        <f>+'[1]CÔNG THỨC'!AR44:AR45</f>
        <v>0</v>
      </c>
      <c r="AN44" s="72">
        <f>+'[1]CÔNG THỨC'!AS44:AS45</f>
        <v>0</v>
      </c>
      <c r="AO44" s="74">
        <f t="shared" ref="AO44" si="17">+AJ44+AN44+AK44+AM44</f>
        <v>0</v>
      </c>
      <c r="AP44" s="68">
        <v>0</v>
      </c>
      <c r="AQ44" s="68">
        <v>0</v>
      </c>
      <c r="AR44" s="69">
        <v>0</v>
      </c>
      <c r="AS44" s="69">
        <v>0</v>
      </c>
      <c r="AT44" s="68">
        <v>0</v>
      </c>
      <c r="AU44" s="70">
        <v>0</v>
      </c>
    </row>
    <row r="45" spans="1:47" s="18" customFormat="1" ht="17.25" hidden="1" customHeight="1" x14ac:dyDescent="0.3">
      <c r="A45" s="67">
        <v>21.8333333333333</v>
      </c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7" t="s">
        <v>34</v>
      </c>
      <c r="AI45" s="8"/>
      <c r="AJ45" s="72"/>
      <c r="AK45" s="72"/>
      <c r="AL45" s="73"/>
      <c r="AM45" s="73"/>
      <c r="AN45" s="72"/>
      <c r="AO45" s="74"/>
      <c r="AP45" s="68"/>
      <c r="AQ45" s="68"/>
      <c r="AR45" s="69"/>
      <c r="AS45" s="69"/>
      <c r="AT45" s="68"/>
      <c r="AU45" s="70"/>
    </row>
    <row r="46" spans="1:47" s="18" customFormat="1" ht="17.25" hidden="1" customHeight="1" x14ac:dyDescent="0.25">
      <c r="A46" s="71">
        <v>21</v>
      </c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16">
        <v>0</v>
      </c>
      <c r="AI46" s="1"/>
      <c r="AJ46" s="72">
        <f>+'[1]CÔNG THỨC'!AO46:AO47</f>
        <v>0</v>
      </c>
      <c r="AK46" s="72">
        <f>+'[1]CÔNG THỨC'!AP46:AP47</f>
        <v>0</v>
      </c>
      <c r="AL46" s="73">
        <f>+'[1]CÔNG THỨC'!AQ46:AQ47</f>
        <v>0</v>
      </c>
      <c r="AM46" s="73">
        <f>+'[1]CÔNG THỨC'!AR46:AR47</f>
        <v>0</v>
      </c>
      <c r="AN46" s="72">
        <f>+'[1]CÔNG THỨC'!AS46:AS47</f>
        <v>0</v>
      </c>
      <c r="AO46" s="74">
        <f t="shared" ref="AO46" si="18">+AJ46+AN46+AK46+AM46</f>
        <v>0</v>
      </c>
      <c r="AP46" s="68">
        <v>0</v>
      </c>
      <c r="AQ46" s="68">
        <v>0</v>
      </c>
      <c r="AR46" s="69">
        <v>0</v>
      </c>
      <c r="AS46" s="69">
        <v>0</v>
      </c>
      <c r="AT46" s="68">
        <v>0</v>
      </c>
      <c r="AU46" s="70">
        <v>0</v>
      </c>
    </row>
    <row r="47" spans="1:47" s="18" customFormat="1" ht="17.25" hidden="1" customHeight="1" x14ac:dyDescent="0.3">
      <c r="A47" s="67"/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7" t="s">
        <v>34</v>
      </c>
      <c r="AI47" s="8"/>
      <c r="AJ47" s="72"/>
      <c r="AK47" s="72"/>
      <c r="AL47" s="73"/>
      <c r="AM47" s="73"/>
      <c r="AN47" s="72"/>
      <c r="AO47" s="74"/>
      <c r="AP47" s="68"/>
      <c r="AQ47" s="68"/>
      <c r="AR47" s="69"/>
      <c r="AS47" s="69"/>
      <c r="AT47" s="68"/>
      <c r="AU47" s="70"/>
    </row>
    <row r="48" spans="1:47" s="18" customFormat="1" ht="17.25" hidden="1" customHeight="1" x14ac:dyDescent="0.25">
      <c r="A48" s="71">
        <v>22</v>
      </c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16">
        <v>0</v>
      </c>
      <c r="AI48" s="1"/>
      <c r="AJ48" s="72">
        <f>+'[1]CÔNG THỨC'!AO48:AO49</f>
        <v>0</v>
      </c>
      <c r="AK48" s="72">
        <f>+'[1]CÔNG THỨC'!AP48:AP49</f>
        <v>0</v>
      </c>
      <c r="AL48" s="73">
        <f>+'[1]CÔNG THỨC'!AQ48:AQ49</f>
        <v>0</v>
      </c>
      <c r="AM48" s="73">
        <f>+'[1]CÔNG THỨC'!AR48:AR49</f>
        <v>0</v>
      </c>
      <c r="AN48" s="72">
        <f>+'[1]CÔNG THỨC'!AS48:AS49</f>
        <v>0</v>
      </c>
      <c r="AO48" s="74">
        <f t="shared" ref="AO48" si="19">+AJ48+AN48+AK48+AM48</f>
        <v>0</v>
      </c>
      <c r="AP48" s="17"/>
    </row>
    <row r="49" spans="1:42" s="18" customFormat="1" ht="17.25" hidden="1" customHeight="1" x14ac:dyDescent="0.3">
      <c r="A49" s="67">
        <v>24.0833333333333</v>
      </c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7" t="s">
        <v>34</v>
      </c>
      <c r="AI49" s="8"/>
      <c r="AJ49" s="72"/>
      <c r="AK49" s="72"/>
      <c r="AL49" s="73"/>
      <c r="AM49" s="73"/>
      <c r="AN49" s="72"/>
      <c r="AO49" s="74"/>
      <c r="AP49" s="17"/>
    </row>
    <row r="50" spans="1:42" s="18" customFormat="1" ht="17.25" hidden="1" customHeight="1" x14ac:dyDescent="0.25">
      <c r="A50" s="71">
        <v>23</v>
      </c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16">
        <v>0</v>
      </c>
      <c r="AI50" s="1"/>
      <c r="AJ50" s="72">
        <f>+'[1]CÔNG THỨC'!AO50:AO51</f>
        <v>0</v>
      </c>
      <c r="AK50" s="72">
        <f>+'[1]CÔNG THỨC'!AP50:AP51</f>
        <v>0</v>
      </c>
      <c r="AL50" s="73">
        <f>+'[1]CÔNG THỨC'!AQ50:AQ51</f>
        <v>0</v>
      </c>
      <c r="AM50" s="73">
        <f>+'[1]CÔNG THỨC'!AR50:AR51</f>
        <v>0</v>
      </c>
      <c r="AN50" s="72">
        <f>+'[1]CÔNG THỨC'!AS50:AS51</f>
        <v>0</v>
      </c>
      <c r="AO50" s="74">
        <f t="shared" ref="AO50" si="20">+AJ50+AN50+AK50+AM50</f>
        <v>0</v>
      </c>
      <c r="AP50" s="17"/>
    </row>
    <row r="51" spans="1:42" s="18" customFormat="1" ht="17.25" hidden="1" customHeight="1" x14ac:dyDescent="0.3">
      <c r="A51" s="67">
        <v>25.5833333333333</v>
      </c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7" t="s">
        <v>34</v>
      </c>
      <c r="AI51" s="8"/>
      <c r="AJ51" s="72"/>
      <c r="AK51" s="72"/>
      <c r="AL51" s="73"/>
      <c r="AM51" s="73"/>
      <c r="AN51" s="72"/>
      <c r="AO51" s="74"/>
      <c r="AP51" s="17"/>
    </row>
    <row r="52" spans="1:42" s="18" customFormat="1" ht="17.25" hidden="1" customHeight="1" x14ac:dyDescent="0.25">
      <c r="A52" s="71">
        <v>24</v>
      </c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16">
        <v>0</v>
      </c>
      <c r="AI52" s="1"/>
      <c r="AJ52" s="72">
        <f>+'[1]CÔNG THỨC'!AO52:AO53</f>
        <v>0</v>
      </c>
      <c r="AK52" s="72">
        <f>+'[1]CÔNG THỨC'!AP52:AP53</f>
        <v>0</v>
      </c>
      <c r="AL52" s="73">
        <f>+'[1]CÔNG THỨC'!AQ52:AQ53</f>
        <v>0</v>
      </c>
      <c r="AM52" s="73">
        <f>+'[1]CÔNG THỨC'!AR52:AR53</f>
        <v>0</v>
      </c>
      <c r="AN52" s="72">
        <f>+'[1]CÔNG THỨC'!AS52:AS53</f>
        <v>0</v>
      </c>
      <c r="AO52" s="74">
        <f t="shared" ref="AO52" si="21">+AJ52+AN52+AK52+AM52</f>
        <v>0</v>
      </c>
      <c r="AP52" s="17"/>
    </row>
    <row r="53" spans="1:42" s="18" customFormat="1" ht="17.25" hidden="1" customHeight="1" x14ac:dyDescent="0.3">
      <c r="A53" s="67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7" t="s">
        <v>34</v>
      </c>
      <c r="AI53" s="8"/>
      <c r="AJ53" s="72"/>
      <c r="AK53" s="72"/>
      <c r="AL53" s="73"/>
      <c r="AM53" s="73"/>
      <c r="AN53" s="72"/>
      <c r="AO53" s="74"/>
      <c r="AP53" s="17"/>
    </row>
    <row r="54" spans="1:42" s="18" customFormat="1" ht="17.25" hidden="1" customHeight="1" x14ac:dyDescent="0.25">
      <c r="A54" s="71">
        <v>25</v>
      </c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16">
        <v>0</v>
      </c>
      <c r="AI54" s="1"/>
      <c r="AJ54" s="72">
        <f>+'[1]CÔNG THỨC'!AO54:AO55</f>
        <v>0</v>
      </c>
      <c r="AK54" s="72">
        <f>+'[1]CÔNG THỨC'!AP54:AP55</f>
        <v>0</v>
      </c>
      <c r="AL54" s="73">
        <f>+'[1]CÔNG THỨC'!AQ54:AQ55</f>
        <v>0</v>
      </c>
      <c r="AM54" s="73">
        <f>+'[1]CÔNG THỨC'!AR54:AR55</f>
        <v>0</v>
      </c>
      <c r="AN54" s="72">
        <f>+'[1]CÔNG THỨC'!AS54:AS55</f>
        <v>0</v>
      </c>
      <c r="AO54" s="74">
        <f t="shared" ref="AO54" si="22">+AJ54+AN54+AK54+AM54</f>
        <v>0</v>
      </c>
      <c r="AP54" s="17"/>
    </row>
    <row r="55" spans="1:42" s="18" customFormat="1" ht="17.25" hidden="1" customHeight="1" x14ac:dyDescent="0.3">
      <c r="A55" s="67">
        <v>27.8333333333333</v>
      </c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7" t="s">
        <v>34</v>
      </c>
      <c r="AI55" s="8"/>
      <c r="AJ55" s="72"/>
      <c r="AK55" s="72"/>
      <c r="AL55" s="73"/>
      <c r="AM55" s="73"/>
      <c r="AN55" s="72"/>
      <c r="AO55" s="74"/>
      <c r="AP55" s="17"/>
    </row>
    <row r="56" spans="1:42" s="18" customFormat="1" ht="17.25" hidden="1" customHeight="1" x14ac:dyDescent="0.25">
      <c r="A56" s="71">
        <v>26</v>
      </c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16">
        <v>0</v>
      </c>
      <c r="AI56" s="1"/>
      <c r="AJ56" s="72">
        <f>+'[1]CÔNG THỨC'!AO56:AO57</f>
        <v>0</v>
      </c>
      <c r="AK56" s="72">
        <f>+'[1]CÔNG THỨC'!AP56:AP57</f>
        <v>0</v>
      </c>
      <c r="AL56" s="73">
        <f>+'[1]CÔNG THỨC'!AQ56:AQ57</f>
        <v>0</v>
      </c>
      <c r="AM56" s="73">
        <f>+'[1]CÔNG THỨC'!AR56:AR57</f>
        <v>0</v>
      </c>
      <c r="AN56" s="72">
        <f>+'[1]CÔNG THỨC'!AS56:AS57</f>
        <v>0</v>
      </c>
      <c r="AO56" s="74">
        <f t="shared" ref="AO56" si="23">+AJ56+AN56+AK56+AM56</f>
        <v>0</v>
      </c>
      <c r="AP56" s="17"/>
    </row>
    <row r="57" spans="1:42" s="18" customFormat="1" ht="17.25" hidden="1" customHeight="1" x14ac:dyDescent="0.3">
      <c r="A57" s="67">
        <v>29.3333333333333</v>
      </c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7" t="s">
        <v>34</v>
      </c>
      <c r="AI57" s="8"/>
      <c r="AJ57" s="72"/>
      <c r="AK57" s="72"/>
      <c r="AL57" s="73"/>
      <c r="AM57" s="73"/>
      <c r="AN57" s="72"/>
      <c r="AO57" s="74"/>
      <c r="AP57" s="17"/>
    </row>
    <row r="58" spans="1:42" s="18" customFormat="1" ht="17.25" hidden="1" customHeight="1" x14ac:dyDescent="0.25">
      <c r="A58" s="71">
        <v>27</v>
      </c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16">
        <v>0</v>
      </c>
      <c r="AI58" s="1"/>
      <c r="AJ58" s="72">
        <f>+'[1]CÔNG THỨC'!AO58:AO59</f>
        <v>0</v>
      </c>
      <c r="AK58" s="72">
        <f>+'[1]CÔNG THỨC'!AP58:AP59</f>
        <v>0</v>
      </c>
      <c r="AL58" s="73">
        <f>+'[1]CÔNG THỨC'!AQ58:AQ59</f>
        <v>0</v>
      </c>
      <c r="AM58" s="73">
        <f>+'[1]CÔNG THỨC'!AR58:AR59</f>
        <v>0</v>
      </c>
      <c r="AN58" s="72">
        <f>+'[1]CÔNG THỨC'!AS58:AS59</f>
        <v>0</v>
      </c>
      <c r="AO58" s="74">
        <f t="shared" ref="AO58" si="24">+AJ58+AN58+AK58+AM58</f>
        <v>0</v>
      </c>
      <c r="AP58" s="17"/>
    </row>
    <row r="59" spans="1:42" s="18" customFormat="1" ht="17.25" hidden="1" customHeight="1" x14ac:dyDescent="0.3">
      <c r="A59" s="67"/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7" t="s">
        <v>34</v>
      </c>
      <c r="AI59" s="8"/>
      <c r="AJ59" s="72"/>
      <c r="AK59" s="72"/>
      <c r="AL59" s="73"/>
      <c r="AM59" s="73"/>
      <c r="AN59" s="72"/>
      <c r="AO59" s="74"/>
      <c r="AP59" s="17"/>
    </row>
    <row r="60" spans="1:42" s="18" customFormat="1" ht="17.25" hidden="1" customHeight="1" x14ac:dyDescent="0.25">
      <c r="A60" s="71">
        <v>28</v>
      </c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16">
        <v>0</v>
      </c>
      <c r="AI60" s="1"/>
      <c r="AJ60" s="72">
        <f>+'[1]CÔNG THỨC'!AO60:AO61</f>
        <v>0</v>
      </c>
      <c r="AK60" s="72">
        <f>+'[1]CÔNG THỨC'!AP60:AP61</f>
        <v>0</v>
      </c>
      <c r="AL60" s="73">
        <f>+'[1]CÔNG THỨC'!AQ60:AQ61</f>
        <v>0</v>
      </c>
      <c r="AM60" s="73">
        <f>+'[1]CÔNG THỨC'!AR60:AR61</f>
        <v>0</v>
      </c>
      <c r="AN60" s="72">
        <f>+'[1]CÔNG THỨC'!AS60:AS61</f>
        <v>0</v>
      </c>
      <c r="AO60" s="74">
        <f t="shared" ref="AO60" si="25">+AJ60+AN60+AK60+AM60</f>
        <v>0</v>
      </c>
      <c r="AP60" s="17"/>
    </row>
    <row r="61" spans="1:42" s="18" customFormat="1" ht="17.25" hidden="1" customHeight="1" x14ac:dyDescent="0.3">
      <c r="A61" s="67">
        <v>31.5833333333333</v>
      </c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7" t="s">
        <v>34</v>
      </c>
      <c r="AI61" s="8"/>
      <c r="AJ61" s="72"/>
      <c r="AK61" s="72"/>
      <c r="AL61" s="73"/>
      <c r="AM61" s="73"/>
      <c r="AN61" s="72"/>
      <c r="AO61" s="74"/>
      <c r="AP61" s="17"/>
    </row>
    <row r="62" spans="1:42" s="18" customFormat="1" ht="17.25" hidden="1" customHeight="1" x14ac:dyDescent="0.25">
      <c r="A62" s="71">
        <v>29</v>
      </c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16">
        <v>0</v>
      </c>
      <c r="AI62" s="1"/>
      <c r="AJ62" s="72">
        <f>+'[1]CÔNG THỨC'!AO62:AO63</f>
        <v>0</v>
      </c>
      <c r="AK62" s="72">
        <f>+'[1]CÔNG THỨC'!AP62:AP63</f>
        <v>0</v>
      </c>
      <c r="AL62" s="73">
        <f>+'[1]CÔNG THỨC'!AQ62:AQ63</f>
        <v>0</v>
      </c>
      <c r="AM62" s="73">
        <f>+'[1]CÔNG THỨC'!AR62:AR63</f>
        <v>0</v>
      </c>
      <c r="AN62" s="72">
        <f>+'[1]CÔNG THỨC'!AS62:AS63</f>
        <v>0</v>
      </c>
      <c r="AO62" s="74">
        <f t="shared" ref="AO62" si="26">+AJ62+AN62+AK62+AM62</f>
        <v>0</v>
      </c>
      <c r="AP62" s="17"/>
    </row>
    <row r="63" spans="1:42" s="18" customFormat="1" ht="17.25" hidden="1" customHeight="1" x14ac:dyDescent="0.3">
      <c r="A63" s="67">
        <v>33.0833333333333</v>
      </c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7" t="s">
        <v>34</v>
      </c>
      <c r="AI63" s="8"/>
      <c r="AJ63" s="72"/>
      <c r="AK63" s="72"/>
      <c r="AL63" s="73"/>
      <c r="AM63" s="73"/>
      <c r="AN63" s="72"/>
      <c r="AO63" s="74"/>
      <c r="AP63" s="17"/>
    </row>
    <row r="64" spans="1:42" s="18" customFormat="1" ht="17.25" hidden="1" customHeight="1" x14ac:dyDescent="0.25">
      <c r="A64" s="71">
        <v>30</v>
      </c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16">
        <v>0</v>
      </c>
      <c r="AI64" s="1"/>
      <c r="AJ64" s="72">
        <f>+'[1]CÔNG THỨC'!AO64:AO65</f>
        <v>0</v>
      </c>
      <c r="AK64" s="72">
        <f>+'[1]CÔNG THỨC'!AP64:AP65</f>
        <v>0</v>
      </c>
      <c r="AL64" s="73">
        <f>+'[1]CÔNG THỨC'!AQ64:AQ65</f>
        <v>0</v>
      </c>
      <c r="AM64" s="73">
        <f>+'[1]CÔNG THỨC'!AR64:AR65</f>
        <v>0</v>
      </c>
      <c r="AN64" s="72">
        <f>+'[1]CÔNG THỨC'!AS64:AS65</f>
        <v>0</v>
      </c>
      <c r="AO64" s="74">
        <f t="shared" ref="AO64" si="27">+AJ64+AN64+AK64+AM64</f>
        <v>0</v>
      </c>
      <c r="AP64" s="17"/>
    </row>
    <row r="65" spans="1:42" s="18" customFormat="1" ht="17.25" hidden="1" customHeight="1" x14ac:dyDescent="0.3">
      <c r="A65" s="67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7" t="s">
        <v>34</v>
      </c>
      <c r="AI65" s="8"/>
      <c r="AJ65" s="72"/>
      <c r="AK65" s="72"/>
      <c r="AL65" s="73"/>
      <c r="AM65" s="73"/>
      <c r="AN65" s="72"/>
      <c r="AO65" s="74"/>
      <c r="AP65" s="17"/>
    </row>
    <row r="66" spans="1:42" s="18" customFormat="1" ht="17.25" hidden="1" customHeight="1" x14ac:dyDescent="0.25">
      <c r="A66" s="71">
        <v>31</v>
      </c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16">
        <v>0</v>
      </c>
      <c r="AI66" s="1"/>
      <c r="AJ66" s="72">
        <f>+'[1]CÔNG THỨC'!AO66:AO67</f>
        <v>0</v>
      </c>
      <c r="AK66" s="72">
        <f>+'[1]CÔNG THỨC'!AP66:AP67</f>
        <v>0</v>
      </c>
      <c r="AL66" s="73">
        <f>+'[1]CÔNG THỨC'!AQ66:AQ67</f>
        <v>0</v>
      </c>
      <c r="AM66" s="73">
        <f>+'[1]CÔNG THỨC'!AR66:AR67</f>
        <v>0</v>
      </c>
      <c r="AN66" s="72">
        <f>+'[1]CÔNG THỨC'!AS66:AS67</f>
        <v>0</v>
      </c>
      <c r="AO66" s="74">
        <f t="shared" ref="AO66" si="28">+AJ66+AN66+AK66+AM66</f>
        <v>0</v>
      </c>
      <c r="AP66" s="17"/>
    </row>
    <row r="67" spans="1:42" s="18" customFormat="1" ht="17.25" hidden="1" customHeight="1" x14ac:dyDescent="0.3">
      <c r="A67" s="67"/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7" t="s">
        <v>34</v>
      </c>
      <c r="AI67" s="8"/>
      <c r="AJ67" s="72"/>
      <c r="AK67" s="72"/>
      <c r="AL67" s="73"/>
      <c r="AM67" s="73"/>
      <c r="AN67" s="72"/>
      <c r="AO67" s="74"/>
      <c r="AP67" s="17"/>
    </row>
    <row r="68" spans="1:42" s="18" customFormat="1" ht="13.8" x14ac:dyDescent="0.25">
      <c r="B68" s="23" t="s">
        <v>38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5"/>
      <c r="AI68" s="25"/>
      <c r="AJ68" s="17"/>
      <c r="AK68" s="17"/>
      <c r="AL68" s="17"/>
      <c r="AM68" s="17"/>
      <c r="AN68" s="17"/>
      <c r="AO68" s="17"/>
      <c r="AP68" s="17"/>
    </row>
    <row r="69" spans="1:42" s="18" customFormat="1" ht="13.8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26" t="s">
        <v>53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7"/>
      <c r="AK69" s="17"/>
      <c r="AL69" s="17"/>
      <c r="AM69" s="17"/>
      <c r="AN69" s="17"/>
      <c r="AO69" s="17"/>
      <c r="AP69" s="17"/>
    </row>
    <row r="70" spans="1:42" s="30" customFormat="1" ht="18" customHeight="1" x14ac:dyDescent="0.3">
      <c r="A70" s="27"/>
      <c r="B70" s="27"/>
      <c r="C70" s="27"/>
      <c r="D70" s="27"/>
      <c r="E70" s="27"/>
      <c r="F70" s="28" t="s">
        <v>39</v>
      </c>
      <c r="G70" s="27"/>
      <c r="H70" s="27"/>
      <c r="I70" s="27"/>
      <c r="J70" s="27"/>
      <c r="K70" s="27"/>
      <c r="L70" s="27"/>
      <c r="M70" s="75" t="s">
        <v>54</v>
      </c>
      <c r="N70" s="75"/>
      <c r="O70" s="75"/>
      <c r="P70" s="75"/>
      <c r="Q70" s="75"/>
      <c r="R70" s="75"/>
      <c r="S70" s="75"/>
      <c r="T70" s="75"/>
      <c r="U70" s="27"/>
      <c r="V70" s="27"/>
      <c r="W70" s="27"/>
      <c r="X70" s="27"/>
      <c r="Y70" s="27"/>
      <c r="Z70" s="27"/>
      <c r="AA70" s="27" t="s">
        <v>40</v>
      </c>
      <c r="AB70" s="27"/>
      <c r="AC70" s="27"/>
      <c r="AD70" s="27"/>
      <c r="AE70" s="27"/>
      <c r="AF70" s="27"/>
      <c r="AG70" s="27"/>
      <c r="AH70" s="27"/>
      <c r="AI70" s="27"/>
      <c r="AJ70" s="29"/>
      <c r="AK70" s="29"/>
      <c r="AL70" s="29"/>
      <c r="AM70" s="29"/>
      <c r="AN70" s="29"/>
      <c r="AO70" s="29"/>
      <c r="AP70" s="29"/>
    </row>
    <row r="71" spans="1:42" s="18" customFormat="1" ht="13.8" x14ac:dyDescent="0.3">
      <c r="A71" s="10"/>
      <c r="B71" s="27"/>
      <c r="C71" s="27"/>
      <c r="D71" s="27"/>
      <c r="E71" s="27"/>
      <c r="F71" s="28"/>
      <c r="G71" s="27"/>
      <c r="H71" s="27"/>
      <c r="I71" s="27"/>
      <c r="J71" s="27"/>
      <c r="K71" s="27"/>
      <c r="L71" s="27"/>
      <c r="M71" s="27"/>
      <c r="N71" s="28"/>
      <c r="O71" s="28"/>
      <c r="P71" s="28"/>
      <c r="Q71" s="28"/>
      <c r="R71" s="28"/>
      <c r="S71" s="2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10"/>
      <c r="AI71" s="10"/>
      <c r="AJ71" s="17"/>
      <c r="AK71" s="17"/>
      <c r="AL71" s="17"/>
      <c r="AM71" s="17"/>
      <c r="AN71" s="17"/>
      <c r="AO71" s="17"/>
      <c r="AP71" s="17"/>
    </row>
    <row r="72" spans="1:42" s="18" customFormat="1" ht="13.8" x14ac:dyDescent="0.3">
      <c r="A72" s="10"/>
      <c r="B72" s="27"/>
      <c r="C72" s="27"/>
      <c r="D72" s="27"/>
      <c r="E72" s="27"/>
      <c r="F72" s="28"/>
      <c r="G72" s="27"/>
      <c r="H72" s="27"/>
      <c r="I72" s="27"/>
      <c r="J72" s="27"/>
      <c r="K72" s="27"/>
      <c r="L72" s="27"/>
      <c r="M72" s="27"/>
      <c r="N72" s="28"/>
      <c r="O72" s="28"/>
      <c r="P72" s="28"/>
      <c r="Q72" s="28"/>
      <c r="R72" s="28"/>
      <c r="S72" s="2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10"/>
      <c r="AI72" s="10"/>
      <c r="AJ72" s="17"/>
      <c r="AK72" s="17"/>
      <c r="AL72" s="17"/>
      <c r="AM72" s="17"/>
      <c r="AN72" s="17"/>
      <c r="AO72" s="17"/>
      <c r="AP72" s="17"/>
    </row>
    <row r="73" spans="1:42" s="18" customFormat="1" ht="13.8" x14ac:dyDescent="0.3">
      <c r="A73" s="10"/>
      <c r="B73" s="27"/>
      <c r="C73" s="27"/>
      <c r="D73" s="27"/>
      <c r="E73" s="27"/>
      <c r="F73" s="28"/>
      <c r="G73" s="27"/>
      <c r="H73" s="27"/>
      <c r="I73" s="27"/>
      <c r="J73" s="27"/>
      <c r="K73" s="27"/>
      <c r="L73" s="27"/>
      <c r="M73" s="27"/>
      <c r="N73" s="28"/>
      <c r="O73" s="28"/>
      <c r="P73" s="28"/>
      <c r="Q73" s="28"/>
      <c r="R73" s="28"/>
      <c r="S73" s="2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10"/>
      <c r="AI73" s="10"/>
      <c r="AJ73" s="17"/>
      <c r="AK73" s="17"/>
      <c r="AL73" s="17"/>
      <c r="AM73" s="17"/>
      <c r="AN73" s="17"/>
      <c r="AO73" s="17"/>
      <c r="AP73" s="17"/>
    </row>
    <row r="74" spans="1:42" s="18" customFormat="1" ht="13.8" x14ac:dyDescent="0.3">
      <c r="A74" s="10"/>
      <c r="B74" s="27"/>
      <c r="C74" s="27"/>
      <c r="D74" s="27"/>
      <c r="E74" s="27"/>
      <c r="F74" s="28"/>
      <c r="G74" s="27"/>
      <c r="H74" s="27"/>
      <c r="I74" s="27"/>
      <c r="J74" s="27"/>
      <c r="K74" s="27"/>
      <c r="L74" s="27"/>
      <c r="M74" s="27"/>
      <c r="N74" s="28"/>
      <c r="O74" s="28"/>
      <c r="P74" s="28"/>
      <c r="Q74" s="28"/>
      <c r="R74" s="28"/>
      <c r="S74" s="2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10"/>
      <c r="AI74" s="10"/>
      <c r="AJ74" s="17"/>
      <c r="AK74" s="17"/>
      <c r="AL74" s="17"/>
      <c r="AM74" s="17"/>
      <c r="AN74" s="17"/>
      <c r="AO74" s="17"/>
      <c r="AP74" s="17"/>
    </row>
    <row r="75" spans="1:42" s="18" customFormat="1" ht="18" x14ac:dyDescent="0.3">
      <c r="A75" s="10"/>
      <c r="B75" s="31"/>
      <c r="C75" s="32"/>
      <c r="D75" s="33"/>
      <c r="E75" s="33"/>
      <c r="F75" s="33"/>
      <c r="G75" s="33"/>
      <c r="H75" s="33"/>
      <c r="I75" s="33"/>
      <c r="J75" s="34"/>
      <c r="K75" s="34"/>
      <c r="L75" s="34"/>
      <c r="M75" s="34"/>
      <c r="N75" s="76"/>
      <c r="O75" s="76"/>
      <c r="P75" s="76"/>
      <c r="Q75" s="76"/>
      <c r="R75" s="76"/>
      <c r="S75" s="76"/>
      <c r="T75" s="34"/>
      <c r="U75" s="34"/>
      <c r="V75" s="34"/>
      <c r="W75" s="34"/>
      <c r="X75" s="34"/>
      <c r="Y75" s="33"/>
      <c r="Z75" s="33"/>
      <c r="AA75" s="33"/>
      <c r="AB75" s="33"/>
      <c r="AC75" s="33"/>
      <c r="AD75" s="33"/>
      <c r="AE75" s="33"/>
      <c r="AF75" s="34"/>
      <c r="AG75" s="10"/>
      <c r="AH75" s="10"/>
      <c r="AI75" s="10"/>
      <c r="AJ75" s="17"/>
      <c r="AK75" s="17"/>
      <c r="AL75" s="17"/>
      <c r="AM75" s="17"/>
      <c r="AN75" s="17"/>
      <c r="AO75" s="17"/>
      <c r="AP75" s="17"/>
    </row>
    <row r="76" spans="1:42" s="17" customFormat="1" ht="25.5" customHeight="1" x14ac:dyDescent="0.3">
      <c r="A76" s="11"/>
      <c r="B76" s="35"/>
      <c r="C76" s="11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7"/>
      <c r="O76" s="37"/>
      <c r="P76" s="37"/>
      <c r="Q76" s="37"/>
      <c r="R76" s="37"/>
      <c r="S76" s="37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11"/>
      <c r="AH76" s="11"/>
      <c r="AI76" s="11"/>
    </row>
    <row r="77" spans="1:42" s="17" customFormat="1" ht="15.6" x14ac:dyDescent="0.3">
      <c r="A77" s="11"/>
      <c r="B77" s="35"/>
      <c r="C77" s="11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7"/>
      <c r="O77" s="37"/>
      <c r="P77" s="37"/>
      <c r="Q77" s="37"/>
      <c r="R77" s="37"/>
      <c r="S77" s="37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11"/>
      <c r="AH77" s="11"/>
      <c r="AI77" s="11"/>
    </row>
    <row r="78" spans="1:42" s="17" customFormat="1" ht="15.6" hidden="1" x14ac:dyDescent="0.3">
      <c r="A78" s="11"/>
      <c r="B78" s="35"/>
      <c r="C78" s="11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7"/>
      <c r="O78" s="37"/>
      <c r="P78" s="37"/>
      <c r="Q78" s="37"/>
      <c r="R78" s="37"/>
      <c r="S78" s="37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11"/>
      <c r="AH78" s="11"/>
      <c r="AI78" s="11"/>
    </row>
    <row r="79" spans="1:42" s="17" customFormat="1" ht="15.6" hidden="1" x14ac:dyDescent="0.3">
      <c r="A79" s="11"/>
      <c r="B79" s="35"/>
      <c r="C79" s="11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7"/>
      <c r="O79" s="37"/>
      <c r="P79" s="37"/>
      <c r="Q79" s="37"/>
      <c r="R79" s="37"/>
      <c r="S79" s="37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11"/>
      <c r="AH79" s="11"/>
      <c r="AI79" s="11"/>
    </row>
    <row r="80" spans="1:42" s="17" customFormat="1" ht="13.8" x14ac:dyDescent="0.3"/>
    <row r="81" spans="1:40" s="17" customFormat="1" ht="20.25" customHeight="1" x14ac:dyDescent="0.3">
      <c r="A81" s="38"/>
      <c r="B81" s="35" t="s">
        <v>55</v>
      </c>
      <c r="C81" s="77" t="s">
        <v>56</v>
      </c>
      <c r="D81" s="77"/>
      <c r="E81" s="77"/>
      <c r="F81" s="77" t="s">
        <v>57</v>
      </c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 t="s">
        <v>58</v>
      </c>
      <c r="W81" s="77"/>
      <c r="X81" s="77"/>
      <c r="Y81" s="77"/>
      <c r="Z81" s="77"/>
      <c r="AA81" s="77" t="s">
        <v>59</v>
      </c>
      <c r="AB81" s="77"/>
      <c r="AC81" s="77"/>
      <c r="AD81" s="77"/>
      <c r="AE81" s="77"/>
      <c r="AF81" s="39"/>
      <c r="AG81" s="39"/>
      <c r="AH81" s="39"/>
      <c r="AI81" s="39"/>
    </row>
    <row r="82" spans="1:40" s="17" customFormat="1" ht="20.25" customHeight="1" x14ac:dyDescent="0.3">
      <c r="A82" s="40"/>
      <c r="B82" s="35"/>
      <c r="C82" s="78" t="s">
        <v>60</v>
      </c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80"/>
      <c r="AF82" s="39"/>
      <c r="AG82" s="39"/>
      <c r="AH82" s="39"/>
      <c r="AI82" s="39"/>
    </row>
    <row r="83" spans="1:40" s="17" customFormat="1" ht="13.8" x14ac:dyDescent="0.3">
      <c r="A83" s="41" t="s">
        <v>29</v>
      </c>
      <c r="B83" s="11"/>
      <c r="C83" s="81" t="s">
        <v>29</v>
      </c>
      <c r="D83" s="81"/>
      <c r="E83" s="81"/>
      <c r="F83" s="82" t="s">
        <v>61</v>
      </c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3" t="s">
        <v>62</v>
      </c>
      <c r="W83" s="83"/>
      <c r="X83" s="83"/>
      <c r="Y83" s="83"/>
      <c r="Z83" s="83"/>
      <c r="AA83" s="83"/>
      <c r="AB83" s="83"/>
      <c r="AC83" s="83"/>
      <c r="AD83" s="83"/>
      <c r="AE83" s="83"/>
      <c r="AF83" s="42"/>
      <c r="AG83" s="11"/>
      <c r="AH83" s="11"/>
      <c r="AI83" s="11"/>
    </row>
    <row r="84" spans="1:40" s="17" customFormat="1" ht="13.8" x14ac:dyDescent="0.3">
      <c r="A84" s="41" t="s">
        <v>3</v>
      </c>
      <c r="B84" s="11"/>
      <c r="C84" s="81" t="s">
        <v>3</v>
      </c>
      <c r="D84" s="81"/>
      <c r="E84" s="81"/>
      <c r="F84" s="84" t="s">
        <v>63</v>
      </c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3" t="s">
        <v>64</v>
      </c>
      <c r="W84" s="83"/>
      <c r="X84" s="83"/>
      <c r="Y84" s="83"/>
      <c r="Z84" s="83"/>
      <c r="AA84" s="83"/>
      <c r="AB84" s="83"/>
      <c r="AC84" s="83"/>
      <c r="AD84" s="83"/>
      <c r="AE84" s="83"/>
      <c r="AF84" s="42"/>
      <c r="AG84" s="11"/>
      <c r="AH84" s="11"/>
      <c r="AI84" s="11"/>
    </row>
    <row r="85" spans="1:40" s="17" customFormat="1" ht="13.8" x14ac:dyDescent="0.3">
      <c r="A85" s="41" t="s">
        <v>33</v>
      </c>
      <c r="B85" s="11"/>
      <c r="C85" s="81" t="s">
        <v>33</v>
      </c>
      <c r="D85" s="81"/>
      <c r="E85" s="81"/>
      <c r="F85" s="82" t="s">
        <v>65</v>
      </c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3" t="s">
        <v>66</v>
      </c>
      <c r="W85" s="83"/>
      <c r="X85" s="83"/>
      <c r="Y85" s="83"/>
      <c r="Z85" s="83"/>
      <c r="AA85" s="83"/>
      <c r="AB85" s="83"/>
      <c r="AC85" s="83"/>
      <c r="AD85" s="83"/>
      <c r="AE85" s="83"/>
      <c r="AF85" s="42"/>
      <c r="AG85" s="11"/>
      <c r="AH85" s="11"/>
      <c r="AI85" s="11"/>
    </row>
    <row r="86" spans="1:40" s="17" customFormat="1" ht="20.25" customHeight="1" x14ac:dyDescent="0.3">
      <c r="A86" s="41" t="s">
        <v>30</v>
      </c>
      <c r="B86" s="11"/>
      <c r="C86" s="81" t="s">
        <v>30</v>
      </c>
      <c r="D86" s="81"/>
      <c r="E86" s="81"/>
      <c r="F86" s="82" t="s">
        <v>67</v>
      </c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3" t="s">
        <v>68</v>
      </c>
      <c r="W86" s="83"/>
      <c r="X86" s="83"/>
      <c r="Y86" s="83"/>
      <c r="Z86" s="83"/>
      <c r="AA86" s="83"/>
      <c r="AB86" s="83"/>
      <c r="AC86" s="83"/>
      <c r="AD86" s="83"/>
      <c r="AE86" s="83"/>
      <c r="AF86" s="42"/>
      <c r="AG86" s="43"/>
      <c r="AH86" s="11"/>
      <c r="AI86" s="11"/>
      <c r="AJ86" s="44"/>
      <c r="AK86" s="44"/>
      <c r="AN86" s="44"/>
    </row>
    <row r="87" spans="1:40" s="17" customFormat="1" ht="13.8" hidden="1" x14ac:dyDescent="0.3">
      <c r="A87" s="41" t="s">
        <v>69</v>
      </c>
      <c r="B87" s="11"/>
      <c r="C87" s="81" t="s">
        <v>69</v>
      </c>
      <c r="D87" s="81"/>
      <c r="E87" s="81"/>
      <c r="F87" s="82" t="s">
        <v>70</v>
      </c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3" t="s">
        <v>68</v>
      </c>
      <c r="W87" s="83"/>
      <c r="X87" s="83"/>
      <c r="Y87" s="83"/>
      <c r="Z87" s="83"/>
      <c r="AA87" s="83"/>
      <c r="AB87" s="83"/>
      <c r="AC87" s="83"/>
      <c r="AD87" s="83"/>
      <c r="AE87" s="83"/>
      <c r="AF87" s="42"/>
      <c r="AG87" s="43"/>
      <c r="AH87" s="11"/>
      <c r="AI87" s="11"/>
    </row>
    <row r="88" spans="1:40" s="17" customFormat="1" ht="13.8" hidden="1" x14ac:dyDescent="0.3">
      <c r="A88" s="41" t="s">
        <v>71</v>
      </c>
      <c r="B88" s="11"/>
      <c r="C88" s="81" t="s">
        <v>71</v>
      </c>
      <c r="D88" s="81"/>
      <c r="E88" s="81"/>
      <c r="F88" s="82" t="s">
        <v>72</v>
      </c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3" t="s">
        <v>73</v>
      </c>
      <c r="W88" s="83"/>
      <c r="X88" s="83"/>
      <c r="Y88" s="83"/>
      <c r="Z88" s="83"/>
      <c r="AA88" s="83"/>
      <c r="AB88" s="83"/>
      <c r="AC88" s="83"/>
      <c r="AD88" s="83"/>
      <c r="AE88" s="83"/>
      <c r="AF88" s="42"/>
      <c r="AG88" s="43"/>
      <c r="AH88" s="11"/>
      <c r="AI88" s="11"/>
    </row>
    <row r="89" spans="1:40" s="11" customFormat="1" ht="13.8" x14ac:dyDescent="0.3">
      <c r="A89" s="40"/>
      <c r="C89" s="85" t="s">
        <v>74</v>
      </c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42"/>
      <c r="AG89" s="43"/>
    </row>
    <row r="90" spans="1:40" s="11" customFormat="1" ht="13.8" x14ac:dyDescent="0.3">
      <c r="A90" s="41" t="s">
        <v>22</v>
      </c>
      <c r="C90" s="86" t="s">
        <v>22</v>
      </c>
      <c r="D90" s="86"/>
      <c r="E90" s="86"/>
      <c r="F90" s="87" t="s">
        <v>75</v>
      </c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8" t="s">
        <v>73</v>
      </c>
      <c r="W90" s="88"/>
      <c r="X90" s="88"/>
      <c r="Y90" s="88"/>
      <c r="Z90" s="88"/>
      <c r="AA90" s="88"/>
      <c r="AB90" s="88"/>
      <c r="AC90" s="88"/>
      <c r="AD90" s="88"/>
      <c r="AE90" s="88"/>
      <c r="AF90" s="42"/>
      <c r="AG90" s="43"/>
    </row>
    <row r="91" spans="1:40" s="11" customFormat="1" ht="13.8" x14ac:dyDescent="0.3">
      <c r="A91" s="41" t="s">
        <v>25</v>
      </c>
      <c r="C91" s="81" t="s">
        <v>25</v>
      </c>
      <c r="D91" s="81"/>
      <c r="E91" s="81"/>
      <c r="F91" s="82" t="s">
        <v>76</v>
      </c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3" t="s">
        <v>73</v>
      </c>
      <c r="W91" s="83"/>
      <c r="X91" s="83"/>
      <c r="Y91" s="83"/>
      <c r="Z91" s="83"/>
      <c r="AA91" s="83"/>
      <c r="AB91" s="83"/>
      <c r="AC91" s="83"/>
      <c r="AD91" s="83"/>
      <c r="AE91" s="83"/>
      <c r="AF91" s="42"/>
      <c r="AG91" s="43"/>
      <c r="AH91" s="43"/>
      <c r="AI91" s="43"/>
    </row>
    <row r="92" spans="1:40" s="11" customFormat="1" ht="13.8" x14ac:dyDescent="0.3">
      <c r="A92" s="41" t="s">
        <v>32</v>
      </c>
      <c r="C92" s="81" t="s">
        <v>32</v>
      </c>
      <c r="D92" s="81"/>
      <c r="E92" s="81"/>
      <c r="F92" s="82" t="s">
        <v>77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3" t="s">
        <v>73</v>
      </c>
      <c r="W92" s="83"/>
      <c r="X92" s="83"/>
      <c r="Y92" s="83"/>
      <c r="Z92" s="83"/>
      <c r="AA92" s="83"/>
      <c r="AB92" s="83"/>
      <c r="AC92" s="83"/>
      <c r="AD92" s="83"/>
      <c r="AE92" s="83"/>
      <c r="AF92" s="42"/>
      <c r="AG92" s="43"/>
      <c r="AH92" s="43"/>
      <c r="AI92" s="43"/>
    </row>
    <row r="93" spans="1:40" s="11" customFormat="1" ht="13.8" x14ac:dyDescent="0.3">
      <c r="A93" s="41" t="s">
        <v>27</v>
      </c>
      <c r="C93" s="81" t="s">
        <v>78</v>
      </c>
      <c r="D93" s="81"/>
      <c r="E93" s="81"/>
      <c r="F93" s="82" t="s">
        <v>79</v>
      </c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3" t="s">
        <v>73</v>
      </c>
      <c r="W93" s="83"/>
      <c r="X93" s="83"/>
      <c r="Y93" s="83"/>
      <c r="Z93" s="83"/>
      <c r="AA93" s="83"/>
      <c r="AB93" s="83"/>
      <c r="AC93" s="83"/>
      <c r="AD93" s="83"/>
      <c r="AE93" s="83"/>
      <c r="AF93" s="42"/>
      <c r="AG93" s="43"/>
      <c r="AH93" s="43"/>
      <c r="AI93" s="43"/>
    </row>
    <row r="94" spans="1:40" s="11" customFormat="1" ht="13.8" x14ac:dyDescent="0.3">
      <c r="A94" s="41" t="s">
        <v>80</v>
      </c>
      <c r="C94" s="81" t="s">
        <v>80</v>
      </c>
      <c r="D94" s="81"/>
      <c r="E94" s="81"/>
      <c r="F94" s="82" t="s">
        <v>81</v>
      </c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3" t="s">
        <v>73</v>
      </c>
      <c r="W94" s="83"/>
      <c r="X94" s="83"/>
      <c r="Y94" s="83"/>
      <c r="Z94" s="83"/>
      <c r="AA94" s="83"/>
      <c r="AB94" s="83"/>
      <c r="AC94" s="83"/>
      <c r="AD94" s="83"/>
      <c r="AE94" s="83"/>
      <c r="AF94" s="42"/>
      <c r="AG94" s="43"/>
      <c r="AH94" s="43"/>
      <c r="AI94" s="43"/>
    </row>
    <row r="95" spans="1:40" s="11" customFormat="1" ht="13.8" x14ac:dyDescent="0.3">
      <c r="A95" s="41" t="s">
        <v>82</v>
      </c>
      <c r="C95" s="81" t="s">
        <v>82</v>
      </c>
      <c r="D95" s="81"/>
      <c r="E95" s="81"/>
      <c r="F95" s="82" t="s">
        <v>83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3" t="s">
        <v>68</v>
      </c>
      <c r="W95" s="83"/>
      <c r="X95" s="83"/>
      <c r="Y95" s="83"/>
      <c r="Z95" s="83"/>
      <c r="AA95" s="83"/>
      <c r="AB95" s="83"/>
      <c r="AC95" s="83"/>
      <c r="AD95" s="83"/>
      <c r="AE95" s="83"/>
      <c r="AF95" s="42"/>
      <c r="AG95" s="43"/>
      <c r="AH95" s="43"/>
      <c r="AI95" s="43"/>
    </row>
    <row r="96" spans="1:40" s="39" customFormat="1" ht="13.8" x14ac:dyDescent="0.3">
      <c r="A96" s="41" t="s">
        <v>84</v>
      </c>
      <c r="B96" s="11"/>
      <c r="C96" s="81" t="s">
        <v>84</v>
      </c>
      <c r="D96" s="81"/>
      <c r="E96" s="81"/>
      <c r="F96" s="82" t="s">
        <v>85</v>
      </c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3" t="s">
        <v>68</v>
      </c>
      <c r="W96" s="83"/>
      <c r="X96" s="83"/>
      <c r="Y96" s="83"/>
      <c r="Z96" s="83"/>
      <c r="AA96" s="83"/>
      <c r="AB96" s="83"/>
      <c r="AC96" s="83"/>
      <c r="AD96" s="83"/>
      <c r="AE96" s="83"/>
      <c r="AF96" s="42"/>
      <c r="AG96" s="43"/>
      <c r="AH96" s="43"/>
      <c r="AI96" s="43"/>
    </row>
    <row r="97" spans="1:35" s="11" customFormat="1" ht="13.8" x14ac:dyDescent="0.3">
      <c r="A97" s="41" t="s">
        <v>26</v>
      </c>
      <c r="C97" s="81" t="s">
        <v>86</v>
      </c>
      <c r="D97" s="81"/>
      <c r="E97" s="81"/>
      <c r="F97" s="82" t="s">
        <v>87</v>
      </c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3"/>
      <c r="W97" s="83"/>
      <c r="X97" s="83"/>
      <c r="Y97" s="83"/>
      <c r="Z97" s="83"/>
      <c r="AA97" s="83" t="s">
        <v>73</v>
      </c>
      <c r="AB97" s="83"/>
      <c r="AC97" s="83"/>
      <c r="AD97" s="83"/>
      <c r="AE97" s="83"/>
      <c r="AF97" s="42"/>
      <c r="AG97" s="43"/>
      <c r="AH97" s="43"/>
      <c r="AI97" s="43"/>
    </row>
    <row r="98" spans="1:35" s="11" customFormat="1" ht="13.8" x14ac:dyDescent="0.3">
      <c r="A98" s="41" t="s">
        <v>24</v>
      </c>
      <c r="C98" s="81" t="s">
        <v>24</v>
      </c>
      <c r="D98" s="81"/>
      <c r="E98" s="81"/>
      <c r="F98" s="82" t="s">
        <v>88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3" t="s">
        <v>68</v>
      </c>
      <c r="W98" s="83"/>
      <c r="X98" s="83"/>
      <c r="Y98" s="83"/>
      <c r="Z98" s="83"/>
      <c r="AA98" s="83"/>
      <c r="AB98" s="83"/>
      <c r="AC98" s="83"/>
      <c r="AD98" s="83"/>
      <c r="AE98" s="83"/>
      <c r="AF98" s="42"/>
      <c r="AG98" s="43"/>
      <c r="AH98" s="43"/>
      <c r="AI98" s="43"/>
    </row>
    <row r="99" spans="1:35" s="11" customFormat="1" ht="13.8" x14ac:dyDescent="0.3">
      <c r="A99" s="41" t="s">
        <v>89</v>
      </c>
      <c r="B99" s="45">
        <f>+COUNTIF(C6:AG6,"+")+COUNTIF(C6:AG6,"P")+COUNTIF(C6:AG6,"-/P")+(COUNTIF(C6:AG6,"-/K")/2)+COUNTIF(C6:AG6,"B")+COUNTIF(C6:AG6,"-/B")+COUNTIF(C6:AG6,"BL")+COUNTIF(C6:AG6,"-/BL")+COUNTIF(C6:AG6,"L")+(COUNTIF(C6:AG6,"-/N")/2)+IF(+COUNTIF(C6:AG6,"PT")&lt;3,COUNTIF(C6:AG6,"PT"),3)+IF(+COUNTIF(C6:AG6,"PC")&lt;3,COUNTIF(C6:AG6,"PC"),3)+COUNTIF(C6:AG6,"")+(COUNTIF(C6:AG6,"P/N")/2)+(COUNTIF(C6:AG6,"P/K")/2)</f>
        <v>29</v>
      </c>
      <c r="C99" s="81" t="s">
        <v>89</v>
      </c>
      <c r="D99" s="81"/>
      <c r="E99" s="81"/>
      <c r="F99" s="82" t="s">
        <v>90</v>
      </c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3" t="s">
        <v>73</v>
      </c>
      <c r="W99" s="83"/>
      <c r="X99" s="83"/>
      <c r="Y99" s="83"/>
      <c r="Z99" s="83"/>
      <c r="AA99" s="83"/>
      <c r="AB99" s="83"/>
      <c r="AC99" s="83"/>
      <c r="AD99" s="83"/>
      <c r="AE99" s="83"/>
      <c r="AF99" s="42"/>
      <c r="AG99" s="43"/>
      <c r="AH99" s="43"/>
      <c r="AI99" s="43"/>
    </row>
    <row r="100" spans="1:35" s="11" customFormat="1" ht="13.8" x14ac:dyDescent="0.3">
      <c r="A100" s="41" t="s">
        <v>91</v>
      </c>
      <c r="C100" s="81" t="s">
        <v>92</v>
      </c>
      <c r="D100" s="81"/>
      <c r="E100" s="81"/>
      <c r="F100" s="82" t="s">
        <v>93</v>
      </c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3" t="s">
        <v>73</v>
      </c>
      <c r="W100" s="83"/>
      <c r="X100" s="83"/>
      <c r="Y100" s="83"/>
      <c r="Z100" s="83"/>
      <c r="AA100" s="83"/>
      <c r="AB100" s="83"/>
      <c r="AC100" s="83"/>
      <c r="AD100" s="83"/>
      <c r="AE100" s="83"/>
      <c r="AF100" s="42"/>
      <c r="AG100" s="43"/>
      <c r="AH100" s="43"/>
      <c r="AI100" s="43"/>
    </row>
    <row r="101" spans="1:35" s="11" customFormat="1" ht="13.8" x14ac:dyDescent="0.3">
      <c r="A101" s="41" t="s">
        <v>94</v>
      </c>
      <c r="C101" s="81" t="s">
        <v>94</v>
      </c>
      <c r="D101" s="81"/>
      <c r="E101" s="81"/>
      <c r="F101" s="82" t="s">
        <v>95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3" t="s">
        <v>73</v>
      </c>
      <c r="W101" s="83"/>
      <c r="X101" s="83"/>
      <c r="Y101" s="83"/>
      <c r="Z101" s="83"/>
      <c r="AA101" s="83"/>
      <c r="AB101" s="83"/>
      <c r="AC101" s="83"/>
      <c r="AD101" s="83"/>
      <c r="AE101" s="83"/>
      <c r="AF101" s="42"/>
      <c r="AG101" s="43"/>
      <c r="AH101" s="43"/>
      <c r="AI101" s="43"/>
    </row>
    <row r="102" spans="1:35" s="11" customFormat="1" ht="13.8" x14ac:dyDescent="0.3">
      <c r="A102" s="41" t="s">
        <v>96</v>
      </c>
      <c r="C102" s="81" t="s">
        <v>96</v>
      </c>
      <c r="D102" s="81"/>
      <c r="E102" s="81"/>
      <c r="F102" s="82" t="s">
        <v>97</v>
      </c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3" t="s">
        <v>73</v>
      </c>
      <c r="W102" s="83"/>
      <c r="X102" s="83"/>
      <c r="Y102" s="83"/>
      <c r="Z102" s="83"/>
      <c r="AA102" s="83"/>
      <c r="AB102" s="83"/>
      <c r="AC102" s="83"/>
      <c r="AD102" s="83"/>
      <c r="AE102" s="83"/>
      <c r="AF102" s="42"/>
      <c r="AG102" s="43"/>
      <c r="AH102" s="43"/>
      <c r="AI102" s="43"/>
    </row>
    <row r="103" spans="1:35" s="11" customFormat="1" ht="13.8" x14ac:dyDescent="0.3">
      <c r="A103" s="41" t="s">
        <v>23</v>
      </c>
      <c r="C103" s="81" t="s">
        <v>23</v>
      </c>
      <c r="D103" s="81"/>
      <c r="E103" s="81"/>
      <c r="F103" s="82" t="s">
        <v>98</v>
      </c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3"/>
      <c r="W103" s="83"/>
      <c r="X103" s="83"/>
      <c r="Y103" s="83"/>
      <c r="Z103" s="83"/>
      <c r="AA103" s="83" t="s">
        <v>73</v>
      </c>
      <c r="AB103" s="83"/>
      <c r="AC103" s="83"/>
      <c r="AD103" s="83"/>
      <c r="AE103" s="83"/>
      <c r="AF103" s="42"/>
      <c r="AG103" s="43"/>
      <c r="AH103" s="43"/>
      <c r="AI103" s="43"/>
    </row>
    <row r="104" spans="1:35" s="11" customFormat="1" ht="13.8" x14ac:dyDescent="0.3">
      <c r="A104" s="41" t="s">
        <v>31</v>
      </c>
      <c r="C104" s="81" t="s">
        <v>31</v>
      </c>
      <c r="D104" s="81"/>
      <c r="E104" s="81"/>
      <c r="F104" s="82" t="s">
        <v>99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3" t="s">
        <v>100</v>
      </c>
      <c r="W104" s="83"/>
      <c r="X104" s="83"/>
      <c r="Y104" s="83"/>
      <c r="Z104" s="83"/>
      <c r="AA104" s="83"/>
      <c r="AB104" s="83"/>
      <c r="AC104" s="83"/>
      <c r="AD104" s="83"/>
      <c r="AE104" s="83"/>
      <c r="AF104" s="42"/>
      <c r="AG104" s="43"/>
      <c r="AH104" s="43"/>
      <c r="AI104" s="43"/>
    </row>
    <row r="105" spans="1:35" s="11" customFormat="1" ht="13.8" x14ac:dyDescent="0.3">
      <c r="A105" s="41" t="s">
        <v>36</v>
      </c>
      <c r="C105" s="81" t="s">
        <v>36</v>
      </c>
      <c r="D105" s="81"/>
      <c r="E105" s="81"/>
      <c r="F105" s="82" t="s">
        <v>101</v>
      </c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42"/>
      <c r="AG105" s="43"/>
      <c r="AH105" s="43"/>
      <c r="AI105" s="43"/>
    </row>
    <row r="106" spans="1:35" s="11" customFormat="1" ht="13.8" x14ac:dyDescent="0.3">
      <c r="A106" s="41" t="s">
        <v>102</v>
      </c>
      <c r="C106" s="81" t="s">
        <v>102</v>
      </c>
      <c r="D106" s="81"/>
      <c r="E106" s="81"/>
      <c r="F106" s="82" t="s">
        <v>103</v>
      </c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42"/>
      <c r="AG106" s="43"/>
      <c r="AH106" s="43"/>
      <c r="AI106" s="43"/>
    </row>
    <row r="107" spans="1:35" s="11" customFormat="1" ht="13.8" x14ac:dyDescent="0.3">
      <c r="A107" s="41" t="s">
        <v>104</v>
      </c>
      <c r="C107" s="81" t="s">
        <v>104</v>
      </c>
      <c r="D107" s="81"/>
      <c r="E107" s="81"/>
      <c r="F107" s="82" t="s">
        <v>105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3" t="s">
        <v>73</v>
      </c>
      <c r="W107" s="83"/>
      <c r="X107" s="83"/>
      <c r="Y107" s="83"/>
      <c r="Z107" s="83"/>
      <c r="AA107" s="83"/>
      <c r="AB107" s="83"/>
      <c r="AC107" s="83"/>
      <c r="AD107" s="83"/>
      <c r="AE107" s="83"/>
      <c r="AF107" s="42"/>
      <c r="AG107" s="43"/>
      <c r="AH107" s="43"/>
      <c r="AI107" s="43"/>
    </row>
    <row r="108" spans="1:35" s="11" customFormat="1" ht="13.8" x14ac:dyDescent="0.3">
      <c r="A108" s="41" t="s">
        <v>106</v>
      </c>
      <c r="C108" s="81" t="s">
        <v>106</v>
      </c>
      <c r="D108" s="81"/>
      <c r="E108" s="81"/>
      <c r="F108" s="82" t="s">
        <v>107</v>
      </c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3" t="s">
        <v>73</v>
      </c>
      <c r="W108" s="83"/>
      <c r="X108" s="83"/>
      <c r="Y108" s="83"/>
      <c r="Z108" s="83"/>
      <c r="AA108" s="83"/>
      <c r="AB108" s="83"/>
      <c r="AC108" s="83"/>
      <c r="AD108" s="83"/>
      <c r="AE108" s="83"/>
      <c r="AF108" s="42"/>
      <c r="AG108" s="43"/>
      <c r="AH108" s="43"/>
      <c r="AI108" s="43"/>
    </row>
    <row r="109" spans="1:35" s="11" customFormat="1" ht="13.8" x14ac:dyDescent="0.3">
      <c r="A109" s="41" t="s">
        <v>35</v>
      </c>
      <c r="C109" s="81" t="s">
        <v>35</v>
      </c>
      <c r="D109" s="81"/>
      <c r="E109" s="81"/>
      <c r="F109" s="82" t="s">
        <v>108</v>
      </c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3" t="s">
        <v>73</v>
      </c>
      <c r="W109" s="83"/>
      <c r="X109" s="83"/>
      <c r="Y109" s="83"/>
      <c r="Z109" s="83"/>
      <c r="AA109" s="83"/>
      <c r="AB109" s="83"/>
      <c r="AC109" s="83"/>
      <c r="AD109" s="83"/>
      <c r="AE109" s="83"/>
      <c r="AF109" s="42"/>
      <c r="AG109" s="43"/>
      <c r="AH109" s="43"/>
      <c r="AI109" s="43"/>
    </row>
    <row r="110" spans="1:35" s="11" customFormat="1" ht="13.8" x14ac:dyDescent="0.3">
      <c r="A110" s="41" t="s">
        <v>109</v>
      </c>
      <c r="C110" s="81" t="s">
        <v>109</v>
      </c>
      <c r="D110" s="81"/>
      <c r="E110" s="81"/>
      <c r="F110" s="82" t="s">
        <v>110</v>
      </c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3" t="s">
        <v>73</v>
      </c>
      <c r="W110" s="83"/>
      <c r="X110" s="83"/>
      <c r="Y110" s="83"/>
      <c r="Z110" s="83"/>
      <c r="AA110" s="83"/>
      <c r="AB110" s="83"/>
      <c r="AC110" s="83"/>
      <c r="AD110" s="83"/>
      <c r="AE110" s="83"/>
      <c r="AF110" s="42"/>
      <c r="AG110" s="43"/>
      <c r="AH110" s="43"/>
      <c r="AI110" s="43"/>
    </row>
    <row r="111" spans="1:35" s="11" customFormat="1" ht="16.5" customHeight="1" x14ac:dyDescent="0.3">
      <c r="A111" s="41" t="s">
        <v>111</v>
      </c>
      <c r="C111" s="81" t="s">
        <v>111</v>
      </c>
      <c r="D111" s="81"/>
      <c r="E111" s="81"/>
      <c r="F111" s="82" t="s">
        <v>112</v>
      </c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3" t="s">
        <v>68</v>
      </c>
      <c r="W111" s="83"/>
      <c r="X111" s="83"/>
      <c r="Y111" s="83"/>
      <c r="Z111" s="83"/>
      <c r="AA111" s="83"/>
      <c r="AB111" s="83"/>
      <c r="AC111" s="83"/>
      <c r="AD111" s="83"/>
      <c r="AE111" s="83"/>
      <c r="AF111" s="43"/>
      <c r="AG111" s="43"/>
      <c r="AH111" s="43"/>
      <c r="AI111" s="43"/>
    </row>
    <row r="112" spans="1:35" s="11" customFormat="1" ht="16.5" customHeight="1" x14ac:dyDescent="0.3">
      <c r="A112" s="41" t="s">
        <v>113</v>
      </c>
      <c r="C112" s="81" t="s">
        <v>113</v>
      </c>
      <c r="D112" s="81"/>
      <c r="E112" s="81"/>
      <c r="F112" s="82" t="s">
        <v>114</v>
      </c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3" t="s">
        <v>73</v>
      </c>
      <c r="W112" s="83"/>
      <c r="X112" s="83"/>
      <c r="Y112" s="83"/>
      <c r="Z112" s="83"/>
      <c r="AA112" s="83"/>
      <c r="AB112" s="83"/>
      <c r="AC112" s="83"/>
      <c r="AD112" s="83"/>
      <c r="AE112" s="83"/>
      <c r="AF112" s="43"/>
      <c r="AG112" s="43"/>
      <c r="AH112" s="43"/>
      <c r="AI112" s="43"/>
    </row>
    <row r="113" spans="3:35" s="11" customFormat="1" ht="16.5" customHeight="1" x14ac:dyDescent="0.3"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3:35" s="11" customFormat="1" ht="16.5" customHeight="1" x14ac:dyDescent="0.3"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3:35" s="11" customFormat="1" ht="16.5" customHeight="1" x14ac:dyDescent="0.3"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</row>
  </sheetData>
  <mergeCells count="488">
    <mergeCell ref="AS44:AS45"/>
    <mergeCell ref="AT44:AT45"/>
    <mergeCell ref="AU44:AU45"/>
    <mergeCell ref="AP46:AP47"/>
    <mergeCell ref="AS46:AS47"/>
    <mergeCell ref="AT46:AT47"/>
    <mergeCell ref="AU46:AU47"/>
    <mergeCell ref="AP40:AP41"/>
    <mergeCell ref="AS40:AS41"/>
    <mergeCell ref="AT40:AT41"/>
    <mergeCell ref="AU40:AU41"/>
    <mergeCell ref="AP42:AP43"/>
    <mergeCell ref="AS42:AS43"/>
    <mergeCell ref="AT42:AT43"/>
    <mergeCell ref="AU42:AU43"/>
    <mergeCell ref="AR44:AR45"/>
    <mergeCell ref="AQ42:AQ43"/>
    <mergeCell ref="AR42:AR43"/>
    <mergeCell ref="AR40:AR41"/>
    <mergeCell ref="AS36:AS37"/>
    <mergeCell ref="AT36:AT37"/>
    <mergeCell ref="AU36:AU37"/>
    <mergeCell ref="AP38:AP39"/>
    <mergeCell ref="AS38:AS39"/>
    <mergeCell ref="AT38:AT39"/>
    <mergeCell ref="AU38:AU39"/>
    <mergeCell ref="AP32:AP33"/>
    <mergeCell ref="AS32:AS33"/>
    <mergeCell ref="AT32:AT33"/>
    <mergeCell ref="AU32:AU33"/>
    <mergeCell ref="AP34:AP35"/>
    <mergeCell ref="AS34:AS35"/>
    <mergeCell ref="AT34:AT35"/>
    <mergeCell ref="AU34:AU35"/>
    <mergeCell ref="AR36:AR37"/>
    <mergeCell ref="AQ34:AQ35"/>
    <mergeCell ref="AR34:AR35"/>
    <mergeCell ref="AR32:AR33"/>
    <mergeCell ref="AS28:AS29"/>
    <mergeCell ref="AT28:AT29"/>
    <mergeCell ref="AU28:AU29"/>
    <mergeCell ref="AP30:AP31"/>
    <mergeCell ref="AS30:AS31"/>
    <mergeCell ref="AT30:AT31"/>
    <mergeCell ref="AU30:AU31"/>
    <mergeCell ref="AP24:AP25"/>
    <mergeCell ref="AS24:AS25"/>
    <mergeCell ref="AT24:AT25"/>
    <mergeCell ref="AU24:AU25"/>
    <mergeCell ref="AP26:AP27"/>
    <mergeCell ref="AS26:AS27"/>
    <mergeCell ref="AT26:AT27"/>
    <mergeCell ref="AU26:AU27"/>
    <mergeCell ref="AR28:AR29"/>
    <mergeCell ref="AQ26:AQ27"/>
    <mergeCell ref="AR26:AR27"/>
    <mergeCell ref="AR24:AR25"/>
    <mergeCell ref="AS20:AS21"/>
    <mergeCell ref="AT20:AT21"/>
    <mergeCell ref="AU20:AU21"/>
    <mergeCell ref="AP22:AP23"/>
    <mergeCell ref="AS22:AS23"/>
    <mergeCell ref="AT22:AT23"/>
    <mergeCell ref="AU22:AU23"/>
    <mergeCell ref="AS16:AS17"/>
    <mergeCell ref="AT16:AT17"/>
    <mergeCell ref="AU16:AU17"/>
    <mergeCell ref="AP18:AP19"/>
    <mergeCell ref="AS18:AS19"/>
    <mergeCell ref="AT18:AT19"/>
    <mergeCell ref="AU18:AU19"/>
    <mergeCell ref="AR20:AR21"/>
    <mergeCell ref="AQ18:AQ19"/>
    <mergeCell ref="AR18:AR19"/>
    <mergeCell ref="AR16:AR17"/>
    <mergeCell ref="AS12:AS13"/>
    <mergeCell ref="AT12:AT13"/>
    <mergeCell ref="AU12:AU13"/>
    <mergeCell ref="AP14:AP15"/>
    <mergeCell ref="AS14:AS15"/>
    <mergeCell ref="AT14:AT15"/>
    <mergeCell ref="AU14:AU15"/>
    <mergeCell ref="AS8:AS9"/>
    <mergeCell ref="AT8:AT9"/>
    <mergeCell ref="AU8:AU9"/>
    <mergeCell ref="AP10:AP11"/>
    <mergeCell ref="AS10:AS11"/>
    <mergeCell ref="AT10:AT11"/>
    <mergeCell ref="AU10:AU11"/>
    <mergeCell ref="AR12:AR13"/>
    <mergeCell ref="AQ10:AQ11"/>
    <mergeCell ref="AR10:AR11"/>
    <mergeCell ref="AR8:AR9"/>
    <mergeCell ref="AR3:AR4"/>
    <mergeCell ref="AS3:AS4"/>
    <mergeCell ref="AT3:AT4"/>
    <mergeCell ref="AU3:AU4"/>
    <mergeCell ref="AP6:AP7"/>
    <mergeCell ref="AS6:AS7"/>
    <mergeCell ref="AT6:AT7"/>
    <mergeCell ref="AU6:AU7"/>
    <mergeCell ref="C112:E112"/>
    <mergeCell ref="F112:U112"/>
    <mergeCell ref="V112:Z112"/>
    <mergeCell ref="AA112:AE112"/>
    <mergeCell ref="AP3:AP4"/>
    <mergeCell ref="AQ3:AQ4"/>
    <mergeCell ref="AP8:AP9"/>
    <mergeCell ref="AP12:AP13"/>
    <mergeCell ref="AP16:AP17"/>
    <mergeCell ref="AP20:AP21"/>
    <mergeCell ref="C110:E110"/>
    <mergeCell ref="F110:U110"/>
    <mergeCell ref="V110:Z110"/>
    <mergeCell ref="AA110:AE110"/>
    <mergeCell ref="C111:E111"/>
    <mergeCell ref="F111:U111"/>
    <mergeCell ref="V111:Z111"/>
    <mergeCell ref="AA111:AE111"/>
    <mergeCell ref="C108:E108"/>
    <mergeCell ref="F108:U108"/>
    <mergeCell ref="V108:Z108"/>
    <mergeCell ref="AA108:AE108"/>
    <mergeCell ref="C109:E109"/>
    <mergeCell ref="F109:U109"/>
    <mergeCell ref="V109:Z109"/>
    <mergeCell ref="AA109:AE109"/>
    <mergeCell ref="C106:E106"/>
    <mergeCell ref="F106:U106"/>
    <mergeCell ref="V106:Z106"/>
    <mergeCell ref="AA106:AE106"/>
    <mergeCell ref="C107:E107"/>
    <mergeCell ref="F107:U107"/>
    <mergeCell ref="V107:Z107"/>
    <mergeCell ref="AA107:AE107"/>
    <mergeCell ref="C104:E104"/>
    <mergeCell ref="F104:U104"/>
    <mergeCell ref="V104:Z104"/>
    <mergeCell ref="AA104:AE104"/>
    <mergeCell ref="C105:E105"/>
    <mergeCell ref="F105:U105"/>
    <mergeCell ref="V105:Z105"/>
    <mergeCell ref="AA105:AE105"/>
    <mergeCell ref="C102:E102"/>
    <mergeCell ref="F102:U102"/>
    <mergeCell ref="V102:Z102"/>
    <mergeCell ref="AA102:AE102"/>
    <mergeCell ref="C103:E103"/>
    <mergeCell ref="F103:U103"/>
    <mergeCell ref="V103:Z103"/>
    <mergeCell ref="AA103:AE103"/>
    <mergeCell ref="C100:E100"/>
    <mergeCell ref="F100:U100"/>
    <mergeCell ref="V100:Z100"/>
    <mergeCell ref="AA100:AE100"/>
    <mergeCell ref="C101:E101"/>
    <mergeCell ref="F101:U101"/>
    <mergeCell ref="V101:Z101"/>
    <mergeCell ref="AA101:AE101"/>
    <mergeCell ref="C98:E98"/>
    <mergeCell ref="F98:U98"/>
    <mergeCell ref="V98:Z98"/>
    <mergeCell ref="AA98:AE98"/>
    <mergeCell ref="C99:E99"/>
    <mergeCell ref="F99:U99"/>
    <mergeCell ref="V99:Z99"/>
    <mergeCell ref="AA99:AE99"/>
    <mergeCell ref="C96:E96"/>
    <mergeCell ref="F96:U96"/>
    <mergeCell ref="V96:Z96"/>
    <mergeCell ref="AA96:AE96"/>
    <mergeCell ref="C97:E97"/>
    <mergeCell ref="F97:U97"/>
    <mergeCell ref="V97:Z97"/>
    <mergeCell ref="AA97:AE97"/>
    <mergeCell ref="C94:E94"/>
    <mergeCell ref="F94:U94"/>
    <mergeCell ref="V94:Z94"/>
    <mergeCell ref="AA94:AE94"/>
    <mergeCell ref="C95:E95"/>
    <mergeCell ref="F95:U95"/>
    <mergeCell ref="V95:Z95"/>
    <mergeCell ref="AA95:AE95"/>
    <mergeCell ref="C92:E92"/>
    <mergeCell ref="F92:U92"/>
    <mergeCell ref="V92:Z92"/>
    <mergeCell ref="AA92:AE92"/>
    <mergeCell ref="C93:E93"/>
    <mergeCell ref="F93:U93"/>
    <mergeCell ref="V93:Z93"/>
    <mergeCell ref="AA93:AE93"/>
    <mergeCell ref="C89:AE89"/>
    <mergeCell ref="C90:E90"/>
    <mergeCell ref="F90:U90"/>
    <mergeCell ref="V90:Z90"/>
    <mergeCell ref="AA90:AE90"/>
    <mergeCell ref="C91:E91"/>
    <mergeCell ref="F91:U91"/>
    <mergeCell ref="V91:Z91"/>
    <mergeCell ref="AA91:AE91"/>
    <mergeCell ref="C87:E87"/>
    <mergeCell ref="F87:U87"/>
    <mergeCell ref="V87:Z87"/>
    <mergeCell ref="AA87:AE87"/>
    <mergeCell ref="C88:E88"/>
    <mergeCell ref="F88:U88"/>
    <mergeCell ref="V88:Z88"/>
    <mergeCell ref="AA88:AE88"/>
    <mergeCell ref="C85:E85"/>
    <mergeCell ref="F85:U85"/>
    <mergeCell ref="V85:Z85"/>
    <mergeCell ref="AA85:AE85"/>
    <mergeCell ref="C86:E86"/>
    <mergeCell ref="F86:U86"/>
    <mergeCell ref="V86:Z86"/>
    <mergeCell ref="AA86:AE86"/>
    <mergeCell ref="C82:AE82"/>
    <mergeCell ref="C83:E83"/>
    <mergeCell ref="F83:U83"/>
    <mergeCell ref="V83:Z83"/>
    <mergeCell ref="AA83:AE83"/>
    <mergeCell ref="C84:E84"/>
    <mergeCell ref="F84:U84"/>
    <mergeCell ref="V84:Z84"/>
    <mergeCell ref="AA84:AE84"/>
    <mergeCell ref="M70:T70"/>
    <mergeCell ref="N75:S75"/>
    <mergeCell ref="C81:E81"/>
    <mergeCell ref="F81:U81"/>
    <mergeCell ref="V81:Z81"/>
    <mergeCell ref="AA81:AE81"/>
    <mergeCell ref="AO64:AO65"/>
    <mergeCell ref="A66:A67"/>
    <mergeCell ref="AJ66:AJ67"/>
    <mergeCell ref="AK66:AK67"/>
    <mergeCell ref="AL66:AL67"/>
    <mergeCell ref="AM66:AM67"/>
    <mergeCell ref="AN66:AN67"/>
    <mergeCell ref="AO66:AO67"/>
    <mergeCell ref="A64:A65"/>
    <mergeCell ref="AJ64:AJ65"/>
    <mergeCell ref="AK64:AK65"/>
    <mergeCell ref="AL64:AL65"/>
    <mergeCell ref="AM64:AM65"/>
    <mergeCell ref="AN64:AN65"/>
    <mergeCell ref="AO60:AO61"/>
    <mergeCell ref="A62:A63"/>
    <mergeCell ref="AJ62:AJ63"/>
    <mergeCell ref="AK62:AK63"/>
    <mergeCell ref="AL62:AL63"/>
    <mergeCell ref="AM62:AM63"/>
    <mergeCell ref="AN62:AN63"/>
    <mergeCell ref="AO62:AO63"/>
    <mergeCell ref="A60:A61"/>
    <mergeCell ref="AJ60:AJ61"/>
    <mergeCell ref="AK60:AK61"/>
    <mergeCell ref="AL60:AL61"/>
    <mergeCell ref="AM60:AM61"/>
    <mergeCell ref="AN60:AN61"/>
    <mergeCell ref="AO56:AO57"/>
    <mergeCell ref="A58:A59"/>
    <mergeCell ref="AJ58:AJ59"/>
    <mergeCell ref="AK58:AK59"/>
    <mergeCell ref="AL58:AL59"/>
    <mergeCell ref="AM58:AM59"/>
    <mergeCell ref="AN58:AN59"/>
    <mergeCell ref="AO58:AO59"/>
    <mergeCell ref="A56:A57"/>
    <mergeCell ref="AJ56:AJ57"/>
    <mergeCell ref="AK56:AK57"/>
    <mergeCell ref="AL56:AL57"/>
    <mergeCell ref="AM56:AM57"/>
    <mergeCell ref="AN56:AN57"/>
    <mergeCell ref="AO52:AO53"/>
    <mergeCell ref="A54:A55"/>
    <mergeCell ref="AJ54:AJ55"/>
    <mergeCell ref="AK54:AK55"/>
    <mergeCell ref="AL54:AL55"/>
    <mergeCell ref="AM54:AM55"/>
    <mergeCell ref="AN54:AN55"/>
    <mergeCell ref="AO54:AO55"/>
    <mergeCell ref="A52:A53"/>
    <mergeCell ref="AJ52:AJ53"/>
    <mergeCell ref="AK52:AK53"/>
    <mergeCell ref="AL52:AL53"/>
    <mergeCell ref="AM52:AM53"/>
    <mergeCell ref="AN52:AN53"/>
    <mergeCell ref="AO48:AO49"/>
    <mergeCell ref="A50:A51"/>
    <mergeCell ref="AJ50:AJ51"/>
    <mergeCell ref="AK50:AK51"/>
    <mergeCell ref="AL50:AL51"/>
    <mergeCell ref="AM50:AM51"/>
    <mergeCell ref="AN50:AN51"/>
    <mergeCell ref="AO50:AO51"/>
    <mergeCell ref="A48:A49"/>
    <mergeCell ref="AJ48:AJ49"/>
    <mergeCell ref="AK48:AK49"/>
    <mergeCell ref="AL48:AL49"/>
    <mergeCell ref="AM48:AM49"/>
    <mergeCell ref="AN48:AN49"/>
    <mergeCell ref="A46:A47"/>
    <mergeCell ref="AJ46:AJ47"/>
    <mergeCell ref="AK46:AK47"/>
    <mergeCell ref="AL46:AL47"/>
    <mergeCell ref="AM46:AM47"/>
    <mergeCell ref="AN46:AN47"/>
    <mergeCell ref="AO46:AO47"/>
    <mergeCell ref="AQ46:AQ47"/>
    <mergeCell ref="AR46:AR47"/>
    <mergeCell ref="A44:A45"/>
    <mergeCell ref="AJ44:AJ45"/>
    <mergeCell ref="AK44:AK45"/>
    <mergeCell ref="AL44:AL45"/>
    <mergeCell ref="AM44:AM45"/>
    <mergeCell ref="AN44:AN45"/>
    <mergeCell ref="AO44:AO45"/>
    <mergeCell ref="AQ44:AQ45"/>
    <mergeCell ref="AO40:AO41"/>
    <mergeCell ref="AQ40:AQ41"/>
    <mergeCell ref="A42:A43"/>
    <mergeCell ref="AJ42:AJ43"/>
    <mergeCell ref="AK42:AK43"/>
    <mergeCell ref="AL42:AL43"/>
    <mergeCell ref="AM42:AM43"/>
    <mergeCell ref="AN42:AN43"/>
    <mergeCell ref="AO42:AO43"/>
    <mergeCell ref="A40:A41"/>
    <mergeCell ref="AJ40:AJ41"/>
    <mergeCell ref="AK40:AK41"/>
    <mergeCell ref="AL40:AL41"/>
    <mergeCell ref="AM40:AM41"/>
    <mergeCell ref="AN40:AN41"/>
    <mergeCell ref="AP44:AP45"/>
    <mergeCell ref="A38:A39"/>
    <mergeCell ref="AJ38:AJ39"/>
    <mergeCell ref="AK38:AK39"/>
    <mergeCell ref="AL38:AL39"/>
    <mergeCell ref="AM38:AM39"/>
    <mergeCell ref="AN38:AN39"/>
    <mergeCell ref="AO38:AO39"/>
    <mergeCell ref="AQ38:AQ39"/>
    <mergeCell ref="AR38:AR39"/>
    <mergeCell ref="A36:A37"/>
    <mergeCell ref="AJ36:AJ37"/>
    <mergeCell ref="AK36:AK37"/>
    <mergeCell ref="AL36:AL37"/>
    <mergeCell ref="AM36:AM37"/>
    <mergeCell ref="AN36:AN37"/>
    <mergeCell ref="AO36:AO37"/>
    <mergeCell ref="AQ36:AQ37"/>
    <mergeCell ref="AO32:AO33"/>
    <mergeCell ref="AQ32:AQ33"/>
    <mergeCell ref="A34:A35"/>
    <mergeCell ref="AJ34:AJ35"/>
    <mergeCell ref="AK34:AK35"/>
    <mergeCell ref="AL34:AL35"/>
    <mergeCell ref="AM34:AM35"/>
    <mergeCell ref="AN34:AN35"/>
    <mergeCell ref="AO34:AO35"/>
    <mergeCell ref="A32:A33"/>
    <mergeCell ref="AJ32:AJ33"/>
    <mergeCell ref="AK32:AK33"/>
    <mergeCell ref="AL32:AL33"/>
    <mergeCell ref="AM32:AM33"/>
    <mergeCell ref="AN32:AN33"/>
    <mergeCell ref="AP36:AP37"/>
    <mergeCell ref="A30:A31"/>
    <mergeCell ref="AJ30:AJ31"/>
    <mergeCell ref="AK30:AK31"/>
    <mergeCell ref="AL30:AL31"/>
    <mergeCell ref="AM30:AM31"/>
    <mergeCell ref="AN30:AN31"/>
    <mergeCell ref="AO30:AO31"/>
    <mergeCell ref="AQ30:AQ31"/>
    <mergeCell ref="AR30:AR31"/>
    <mergeCell ref="A28:A29"/>
    <mergeCell ref="AJ28:AJ29"/>
    <mergeCell ref="AK28:AK29"/>
    <mergeCell ref="AL28:AL29"/>
    <mergeCell ref="AM28:AM29"/>
    <mergeCell ref="AN28:AN29"/>
    <mergeCell ref="AO28:AO29"/>
    <mergeCell ref="AQ28:AQ29"/>
    <mergeCell ref="AO24:AO25"/>
    <mergeCell ref="AQ24:AQ25"/>
    <mergeCell ref="A26:A27"/>
    <mergeCell ref="AJ26:AJ27"/>
    <mergeCell ref="AK26:AK27"/>
    <mergeCell ref="AL26:AL27"/>
    <mergeCell ref="AM26:AM27"/>
    <mergeCell ref="AN26:AN27"/>
    <mergeCell ref="AO26:AO27"/>
    <mergeCell ref="A24:A25"/>
    <mergeCell ref="AJ24:AJ25"/>
    <mergeCell ref="AK24:AK25"/>
    <mergeCell ref="AL24:AL25"/>
    <mergeCell ref="AM24:AM25"/>
    <mergeCell ref="AN24:AN25"/>
    <mergeCell ref="AP28:AP29"/>
    <mergeCell ref="A22:A23"/>
    <mergeCell ref="AJ22:AJ23"/>
    <mergeCell ref="AK22:AK23"/>
    <mergeCell ref="AL22:AL23"/>
    <mergeCell ref="AM22:AM23"/>
    <mergeCell ref="AN22:AN23"/>
    <mergeCell ref="AO22:AO23"/>
    <mergeCell ref="AQ22:AQ23"/>
    <mergeCell ref="AR22:AR23"/>
    <mergeCell ref="A20:A21"/>
    <mergeCell ref="AJ20:AJ21"/>
    <mergeCell ref="AK20:AK21"/>
    <mergeCell ref="AL20:AL21"/>
    <mergeCell ref="AM20:AM21"/>
    <mergeCell ref="AN20:AN21"/>
    <mergeCell ref="AO20:AO21"/>
    <mergeCell ref="AQ20:AQ21"/>
    <mergeCell ref="AO16:AO17"/>
    <mergeCell ref="AQ16:AQ17"/>
    <mergeCell ref="A18:A19"/>
    <mergeCell ref="AJ18:AJ19"/>
    <mergeCell ref="AK18:AK19"/>
    <mergeCell ref="AL18:AL19"/>
    <mergeCell ref="AM18:AM19"/>
    <mergeCell ref="AN18:AN19"/>
    <mergeCell ref="AO18:AO19"/>
    <mergeCell ref="A16:A17"/>
    <mergeCell ref="AJ16:AJ17"/>
    <mergeCell ref="AK16:AK17"/>
    <mergeCell ref="AL16:AL17"/>
    <mergeCell ref="AM16:AM17"/>
    <mergeCell ref="AN16:AN17"/>
    <mergeCell ref="A14:A15"/>
    <mergeCell ref="AJ14:AJ15"/>
    <mergeCell ref="AK14:AK15"/>
    <mergeCell ref="AL14:AL15"/>
    <mergeCell ref="AM14:AM15"/>
    <mergeCell ref="AN14:AN15"/>
    <mergeCell ref="AO14:AO15"/>
    <mergeCell ref="AQ14:AQ15"/>
    <mergeCell ref="AR14:AR15"/>
    <mergeCell ref="AO12:AO13"/>
    <mergeCell ref="AQ12:AQ13"/>
    <mergeCell ref="AO8:AO9"/>
    <mergeCell ref="AQ8:AQ9"/>
    <mergeCell ref="A10:A11"/>
    <mergeCell ref="AJ10:AJ11"/>
    <mergeCell ref="AK10:AK11"/>
    <mergeCell ref="AL10:AL11"/>
    <mergeCell ref="AM10:AM11"/>
    <mergeCell ref="AN10:AN11"/>
    <mergeCell ref="AO10:AO11"/>
    <mergeCell ref="A8:A9"/>
    <mergeCell ref="AJ8:AJ9"/>
    <mergeCell ref="AK8:AK9"/>
    <mergeCell ref="AL8:AL9"/>
    <mergeCell ref="AM8:AM9"/>
    <mergeCell ref="AN8:AN9"/>
    <mergeCell ref="A12:A13"/>
    <mergeCell ref="AJ12:AJ13"/>
    <mergeCell ref="AK12:AK13"/>
    <mergeCell ref="AL12:AL13"/>
    <mergeCell ref="AM12:AM13"/>
    <mergeCell ref="AN12:AN13"/>
    <mergeCell ref="A6:A7"/>
    <mergeCell ref="AJ6:AJ7"/>
    <mergeCell ref="AK6:AK7"/>
    <mergeCell ref="AL6:AL7"/>
    <mergeCell ref="AM6:AM7"/>
    <mergeCell ref="AN6:AN7"/>
    <mergeCell ref="AO6:AO7"/>
    <mergeCell ref="AQ6:AQ7"/>
    <mergeCell ref="AR6:AR7"/>
    <mergeCell ref="A1:H1"/>
    <mergeCell ref="I1:AH1"/>
    <mergeCell ref="AJ1:AO2"/>
    <mergeCell ref="A2:H2"/>
    <mergeCell ref="I2:AH2"/>
    <mergeCell ref="A3:A5"/>
    <mergeCell ref="B3:B5"/>
    <mergeCell ref="C3:AH3"/>
    <mergeCell ref="AJ3:AJ4"/>
    <mergeCell ref="AK3:AK4"/>
    <mergeCell ref="AL3:AL4"/>
    <mergeCell ref="AM3:AM4"/>
    <mergeCell ref="AN3:AN4"/>
    <mergeCell ref="AO3:AO4"/>
    <mergeCell ref="AH4:AH5"/>
  </mergeCells>
  <conditionalFormatting sqref="A6 A8 A10 A12 A14 A16 A18 A20 A22 A24 A26 A28 A30 A32 A34 A36 A38 A40 A42 A44 A46 A48 A50 A52 A54 A56 A58 A60 A62 A64 A66 B68">
    <cfRule type="containsBlanks" dxfId="9" priority="12">
      <formula>LEN(TRIM(A6))=0</formula>
    </cfRule>
  </conditionalFormatting>
  <conditionalFormatting sqref="C4:AG67">
    <cfRule type="expression" dxfId="8" priority="1">
      <formula>IF(C$5="",1,0)</formula>
    </cfRule>
    <cfRule type="expression" dxfId="7" priority="6">
      <formula>IF(C$5="CN",1,0)</formula>
    </cfRule>
  </conditionalFormatting>
  <conditionalFormatting sqref="C6:AG7">
    <cfRule type="containsText" dxfId="6" priority="3" operator="containsText" text="L">
      <formula>NOT(ISERROR(SEARCH("L",C6)))</formula>
    </cfRule>
    <cfRule type="containsText" dxfId="5" priority="4" operator="containsText" text=" ">
      <formula>NOT(ISERROR(SEARCH(" ",C6)))</formula>
    </cfRule>
    <cfRule type="containsText" dxfId="4" priority="5" operator="containsText" text="CN">
      <formula>NOT(ISERROR(SEARCH("CN",C6)))</formula>
    </cfRule>
  </conditionalFormatting>
  <conditionalFormatting sqref="C8:AG67">
    <cfRule type="containsText" dxfId="3" priority="9" operator="containsText" text="L">
      <formula>NOT(ISERROR(SEARCH("L",C8)))</formula>
    </cfRule>
    <cfRule type="containsText" dxfId="2" priority="10" operator="containsText" text=" ">
      <formula>NOT(ISERROR(SEARCH(" ",C8)))</formula>
    </cfRule>
    <cfRule type="containsText" dxfId="1" priority="11" operator="containsText" text="CN">
      <formula>NOT(ISERROR(SEARCH("CN",C8)))</formula>
    </cfRule>
  </conditionalFormatting>
  <conditionalFormatting sqref="P6:AG7">
    <cfRule type="expression" dxfId="0" priority="2">
      <formula>IF(P$5="CN",1,0)</formula>
    </cfRule>
  </conditionalFormatting>
  <dataValidations count="2">
    <dataValidation type="list" allowBlank="1" showInputMessage="1" showErrorMessage="1" errorTitle="BÁO LỖI NHẬP LIỆU" error="Bạn đã nhập sai ký tự mặc định ( sau khi nhập xong bấm ENTER hoặc TAP ), Bạn nhập lại ký tự hoặc chọn ký tự trong mũi tên." sqref="C37:AG37 C65:AG65 C63:AG63 C61:AG61 C59:AG59 C57:AG57 C55:AG55 C67:AG67 C53:AG53 C51:AG51 C49:AG49 C47:AG47 C45:AG45 C43:AG43 C41:AG41 C9:AG9 C21:AG21 C19:AG19 C17:AG17 C15:AG15 C13:AG13 C11:AG11 C23:AG23 C25:AG25 C27:AG27 C29:AG29 C31:AG31 C33:AG33 C35:AG35 C39:AG39 C7:AG7" xr:uid="{FA53F970-DC33-4EDE-B3C6-412106E02349}">
      <formula1>$A$83:$A$86</formula1>
    </dataValidation>
    <dataValidation type="list" allowBlank="1" showInputMessage="1" showErrorMessage="1" errorTitle="BÁO LỖI NHẬP LIỆU" error="Bạn đã nhập sai ký tự mặc định ( sau khi nhập xong bấm ENTER hoặc TAP ), Bạn nhập lại ký tự hoặc chọn ký tự trong mũi tên." sqref="C36:AG36 C8:AG8 C54:AG54 C34:AG34 C32:AG32 C30:AG30 C28:AG28 C26:AG26 C24:AG24 C22:AG22 C18:AG18 C16:AG16 C14:AG14 C12:AG12 C10:AG10 C66:AG66 C64:AG64 C52:AG52 C50:AG50 C48:AG48 C46:AG46 C44:AG44 C42:AG42 C40:AG40 C20:AG20 C38:AG38 C56:AG56 C58:AG58 C60:AG60 C62:AG62 C6:AG6" xr:uid="{C581F6C1-D715-4882-A4FF-0EF61A743452}">
      <formula1>$A$87:$A$112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CHẤM CÔNG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Thư Lưu</dc:creator>
  <cp:lastModifiedBy>Anh Thư Lưu</cp:lastModifiedBy>
  <dcterms:created xsi:type="dcterms:W3CDTF">2026-01-20T09:40:50Z</dcterms:created>
  <dcterms:modified xsi:type="dcterms:W3CDTF">2026-01-21T03:21:58Z</dcterms:modified>
</cp:coreProperties>
</file>